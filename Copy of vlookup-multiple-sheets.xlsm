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VBA\"/>
    </mc:Choice>
  </mc:AlternateContent>
  <bookViews>
    <workbookView xWindow="-100" yWindow="-100" windowWidth="29000" windowHeight="15790" tabRatio="986" firstSheet="2" activeTab="2"/>
  </bookViews>
  <sheets>
    <sheet name="VLOOKUP across sheets" sheetId="18" r:id="rId1"/>
    <sheet name="Vlookup another sheet" sheetId="1" r:id="rId2"/>
    <sheet name="VLOOKUP IFERROR" sheetId="15" r:id="rId3"/>
    <sheet name="VLOOKUP INDIRECT" sheetId="14" r:id="rId4"/>
    <sheet name="Dynamic VLOOKUP" sheetId="17" r:id="rId5"/>
    <sheet name="Lookup_sheets range" sheetId="13" r:id="rId6"/>
    <sheet name="Jan" sheetId="2" r:id="rId7"/>
    <sheet name="Feb" sheetId="3" r:id="rId8"/>
    <sheet name="Mar" sheetId="4" r:id="rId9"/>
    <sheet name="East" sheetId="16" r:id="rId10"/>
    <sheet name="North" sheetId="9" r:id="rId11"/>
    <sheet name="South" sheetId="8" r:id="rId12"/>
    <sheet name="West" sheetId="6" r:id="rId13"/>
  </sheets>
  <definedNames>
    <definedName name="East_sales">East!$B$2:$C$6</definedName>
    <definedName name="Lookup_sheets">'Lookup_sheets range'!$A$2:$A$5</definedName>
    <definedName name="North_sales">North!$B$2:$C$6</definedName>
    <definedName name="South_sales">South!$B$2:$C$6</definedName>
    <definedName name="West_sales">West!$B$2:$C$6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7" l="1"/>
  <c r="J3" i="17"/>
  <c r="K3" i="17"/>
  <c r="I4" i="17"/>
  <c r="J4" i="17"/>
  <c r="K4" i="17"/>
  <c r="I5" i="17"/>
  <c r="J5" i="17"/>
  <c r="K5" i="17"/>
  <c r="I6" i="17"/>
  <c r="J6" i="17"/>
  <c r="K6" i="17"/>
  <c r="I7" i="17"/>
  <c r="J7" i="17"/>
  <c r="K7" i="17"/>
  <c r="H4" i="17"/>
  <c r="H5" i="17"/>
  <c r="H6" i="17"/>
  <c r="H7" i="17"/>
  <c r="H3" i="17"/>
  <c r="G3" i="15"/>
  <c r="G4" i="15"/>
  <c r="G5" i="15"/>
  <c r="G6" i="15"/>
  <c r="G7" i="15"/>
  <c r="G8" i="15"/>
  <c r="G9" i="15"/>
  <c r="G10" i="15"/>
  <c r="G11" i="15"/>
  <c r="G2" i="15"/>
  <c r="F3" i="15"/>
  <c r="F4" i="15"/>
  <c r="F5" i="15"/>
  <c r="F6" i="15"/>
  <c r="F7" i="15"/>
  <c r="F8" i="15"/>
  <c r="F9" i="15"/>
  <c r="F10" i="15"/>
  <c r="F11" i="15"/>
  <c r="F2" i="15"/>
  <c r="G12" i="1"/>
  <c r="H12" i="1"/>
  <c r="I12" i="1"/>
  <c r="G13" i="1"/>
  <c r="H13" i="1"/>
  <c r="I13" i="1"/>
  <c r="G14" i="1"/>
  <c r="H14" i="1"/>
  <c r="I14" i="1"/>
  <c r="G15" i="1"/>
  <c r="H15" i="1"/>
  <c r="I15" i="1"/>
  <c r="I11" i="1"/>
  <c r="H11" i="1"/>
  <c r="G11" i="1"/>
  <c r="D12" i="1"/>
  <c r="D13" i="1"/>
  <c r="D14" i="1"/>
  <c r="D15" i="1"/>
  <c r="D11" i="1"/>
  <c r="C12" i="1"/>
  <c r="C13" i="1"/>
  <c r="C14" i="1"/>
  <c r="C15" i="1"/>
  <c r="C11" i="1"/>
  <c r="B12" i="1"/>
  <c r="B13" i="1"/>
  <c r="B14" i="1"/>
  <c r="B15" i="1"/>
  <c r="B11" i="1"/>
  <c r="H13" i="17"/>
  <c r="H14" i="17"/>
  <c r="H15" i="17"/>
  <c r="H16" i="17"/>
  <c r="I15" i="17"/>
  <c r="K13" i="17"/>
  <c r="I13" i="17"/>
  <c r="I14" i="17"/>
  <c r="I16" i="17"/>
  <c r="K15" i="17"/>
  <c r="J13" i="17"/>
  <c r="J14" i="17"/>
  <c r="J15" i="17"/>
  <c r="J16" i="17"/>
  <c r="K14" i="17"/>
  <c r="K16" i="17"/>
  <c r="I12" i="17"/>
  <c r="J12" i="17"/>
  <c r="K12" i="17"/>
  <c r="H12" i="17"/>
  <c r="C3" i="17" l="1"/>
  <c r="D3" i="17"/>
  <c r="E3" i="17"/>
  <c r="C4" i="17"/>
  <c r="D4" i="17"/>
  <c r="E4" i="17"/>
  <c r="C5" i="17"/>
  <c r="D5" i="17"/>
  <c r="E5" i="17"/>
  <c r="C6" i="17"/>
  <c r="D6" i="17"/>
  <c r="E6" i="17"/>
  <c r="C7" i="17"/>
  <c r="D7" i="17"/>
  <c r="E7" i="17"/>
  <c r="B4" i="17"/>
  <c r="B5" i="17"/>
  <c r="B6" i="17"/>
  <c r="B7" i="17"/>
  <c r="B3" i="17"/>
  <c r="C4" i="14" a="1"/>
  <c r="B9" i="14" a="1"/>
  <c r="B15" i="14" a="1"/>
  <c r="B18" i="14" a="1"/>
  <c r="C10" i="14" a="1"/>
  <c r="C2" i="14" a="1"/>
  <c r="B4" i="14" a="1"/>
  <c r="B8" i="14" a="1"/>
  <c r="B12" i="14" a="1"/>
  <c r="C19" i="14" a="1"/>
  <c r="B17" i="14" a="1"/>
  <c r="B16" i="14" a="1"/>
  <c r="C3" i="14" a="1"/>
  <c r="B5" i="14" a="1"/>
  <c r="C17" i="14" a="1"/>
  <c r="B7" i="14" a="1"/>
  <c r="C6" i="14" a="1"/>
  <c r="C20" i="14" a="1"/>
  <c r="C12" i="14" a="1"/>
  <c r="C5" i="14" a="1"/>
  <c r="C11" i="14" a="1"/>
  <c r="B10" i="14" a="1"/>
  <c r="B3" i="14" a="1"/>
  <c r="B14" i="14" a="1"/>
  <c r="B2" i="14" a="1"/>
  <c r="C16" i="14" a="1"/>
  <c r="C13" i="14" a="1"/>
  <c r="C15" i="14" a="1"/>
  <c r="B6" i="14" a="1"/>
  <c r="C18" i="14" a="1"/>
  <c r="B11" i="14" a="1"/>
  <c r="B19" i="14" a="1"/>
  <c r="B20" i="14" a="1"/>
  <c r="C21" i="14" a="1"/>
  <c r="C9" i="14" a="1"/>
  <c r="C7" i="14" a="1"/>
  <c r="C14" i="14" a="1"/>
  <c r="B13" i="14" a="1"/>
  <c r="B21" i="14" a="1"/>
  <c r="C8" i="14" a="1"/>
  <c r="C3" i="14" l="1"/>
  <c r="C7" i="14"/>
  <c r="C11" i="14"/>
  <c r="C17" i="14"/>
  <c r="C19" i="14"/>
  <c r="C4" i="14"/>
  <c r="B2" i="14"/>
  <c r="B6" i="14"/>
  <c r="B10" i="14"/>
  <c r="B14" i="14"/>
  <c r="B20" i="14"/>
  <c r="C8" i="14"/>
  <c r="B4" i="14"/>
  <c r="B8" i="14"/>
  <c r="B12" i="14"/>
  <c r="B16" i="14"/>
  <c r="B18" i="14"/>
  <c r="C10" i="14"/>
  <c r="C12" i="14"/>
  <c r="C14" i="14"/>
  <c r="C16" i="14"/>
  <c r="C18" i="14"/>
  <c r="C20" i="14"/>
  <c r="B3" i="14"/>
  <c r="B7" i="14"/>
  <c r="B11" i="14"/>
  <c r="B15" i="14"/>
  <c r="B21" i="14"/>
  <c r="C2" i="14"/>
  <c r="B5" i="14"/>
  <c r="B9" i="14"/>
  <c r="B13" i="14"/>
  <c r="B17" i="14"/>
  <c r="B19" i="14"/>
  <c r="C6" i="14"/>
  <c r="C5" i="14"/>
  <c r="C9" i="14"/>
  <c r="C13" i="14"/>
  <c r="C15" i="14"/>
  <c r="C21" i="14"/>
  <c r="B3" i="15" a="1"/>
  <c r="B3" i="15" s="1"/>
  <c r="B4" i="15" a="1"/>
  <c r="B4" i="15" s="1"/>
  <c r="B5" i="15" a="1"/>
  <c r="B5" i="15" s="1"/>
  <c r="B6" i="15" a="1"/>
  <c r="B6" i="15" s="1"/>
  <c r="B7" i="15" a="1"/>
  <c r="B7" i="15" s="1"/>
  <c r="B8" i="15" a="1"/>
  <c r="B8" i="15" s="1"/>
  <c r="B9" i="15" a="1"/>
  <c r="B9" i="15" s="1"/>
  <c r="B10" i="15" a="1"/>
  <c r="B10" i="15" s="1"/>
  <c r="B11" i="15" a="1"/>
  <c r="B11" i="15" s="1"/>
  <c r="B2" i="15" a="1"/>
  <c r="B2" i="15" s="1"/>
  <c r="E15" i="17" a="1"/>
  <c r="B12" i="17" a="1"/>
  <c r="B15" i="17" a="1"/>
  <c r="C16" i="17" a="1"/>
  <c r="D14" i="17" a="1"/>
  <c r="E12" i="17" a="1"/>
  <c r="B13" i="17" a="1"/>
  <c r="E14" i="17" a="1"/>
  <c r="C15" i="17" a="1"/>
  <c r="E16" i="17" a="1"/>
  <c r="D13" i="17" a="1"/>
  <c r="B14" i="17" a="1"/>
  <c r="C13" i="17" a="1"/>
  <c r="B16" i="17" a="1"/>
  <c r="D15" i="17" a="1"/>
  <c r="D16" i="17" a="1"/>
  <c r="E13" i="17" a="1"/>
  <c r="C12" i="17" a="1"/>
  <c r="C14" i="17" a="1"/>
  <c r="D12" i="17" a="1"/>
  <c r="C16" i="17" l="1"/>
  <c r="C12" i="17"/>
  <c r="E15" i="17"/>
  <c r="C13" i="17"/>
  <c r="E14" i="17"/>
  <c r="D14" i="17"/>
  <c r="E16" i="17"/>
  <c r="D15" i="17"/>
  <c r="C14" i="17"/>
  <c r="E12" i="17"/>
  <c r="D13" i="17"/>
  <c r="D16" i="17"/>
  <c r="C15" i="17"/>
  <c r="E13" i="17"/>
  <c r="D12" i="17"/>
  <c r="B13" i="17"/>
  <c r="B16" i="17"/>
  <c r="B15" i="17"/>
  <c r="B14" i="17"/>
  <c r="B12" i="17"/>
  <c r="C2" i="15" l="1" a="1"/>
  <c r="C2" i="15" s="1"/>
  <c r="C3" i="15" a="1"/>
  <c r="C3" i="15" s="1"/>
  <c r="C4" i="15" a="1"/>
  <c r="C4" i="15" s="1"/>
  <c r="C5" i="15" a="1"/>
  <c r="C5" i="15" s="1"/>
  <c r="C6" i="15" a="1"/>
  <c r="C6" i="15" s="1"/>
  <c r="C7" i="15" a="1"/>
  <c r="C7" i="15" s="1"/>
  <c r="C8" i="15" a="1"/>
  <c r="C8" i="15" s="1"/>
  <c r="C9" i="15" a="1"/>
  <c r="C9" i="15" s="1"/>
  <c r="C10" i="15" a="1"/>
  <c r="C10" i="15" s="1"/>
  <c r="C11" i="15" a="1"/>
  <c r="C11" i="15" s="1"/>
  <c r="D3" i="1" l="1"/>
  <c r="D4" i="1"/>
  <c r="D5" i="1"/>
  <c r="D6" i="1"/>
  <c r="D2" i="1"/>
  <c r="C3" i="1"/>
  <c r="C4" i="1"/>
  <c r="C5" i="1"/>
  <c r="C6" i="1"/>
  <c r="C2" i="1"/>
  <c r="B3" i="1" l="1"/>
  <c r="B4" i="1"/>
  <c r="B5" i="1"/>
  <c r="B6" i="1"/>
  <c r="B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<sst xmlns="http://schemas.openxmlformats.org/spreadsheetml/2006/main" count="206" uniqueCount="33">
  <si>
    <t>Item</t>
  </si>
  <si>
    <t>Jan</t>
  </si>
  <si>
    <t>Feb</t>
  </si>
  <si>
    <t>Mar</t>
  </si>
  <si>
    <t>Apples</t>
  </si>
  <si>
    <t>Oranges</t>
  </si>
  <si>
    <t>Lemons</t>
  </si>
  <si>
    <t>Bananas</t>
  </si>
  <si>
    <t>Pears</t>
  </si>
  <si>
    <t>Order no.</t>
  </si>
  <si>
    <t xml:space="preserve"> </t>
  </si>
  <si>
    <t>Amount</t>
  </si>
  <si>
    <t>West</t>
  </si>
  <si>
    <t>East</t>
  </si>
  <si>
    <t>South</t>
  </si>
  <si>
    <t>North</t>
  </si>
  <si>
    <t>Lookup sheets</t>
  </si>
  <si>
    <t>Author</t>
  </si>
  <si>
    <t>Last update</t>
  </si>
  <si>
    <t>Tutorial URL</t>
  </si>
  <si>
    <t>Sample Workbook to VLOOKUP in Multiple Sheets</t>
  </si>
  <si>
    <t>VLOOKUP between two worksheets</t>
  </si>
  <si>
    <t xml:space="preserve">VLOOKUP and pull data from multiple sheets into different cells </t>
  </si>
  <si>
    <t>VLOOKUP across multiple sheets with IFERROR</t>
  </si>
  <si>
    <t>VLOOKUP multiple sheets with INDIRECT</t>
  </si>
  <si>
    <t>VLOOKUP and nested IFs</t>
  </si>
  <si>
    <t>VLOOKUP and INDIRECT</t>
  </si>
  <si>
    <t xml:space="preserve">The workbook shows how to Vlookup between two or more sheets in Excel. </t>
  </si>
  <si>
    <t xml:space="preserve">• </t>
  </si>
  <si>
    <t>Examples:</t>
  </si>
  <si>
    <t>How to VLOOKUP across multiple sheets in Excel with examples</t>
  </si>
  <si>
    <t>Ablebits.com</t>
  </si>
  <si>
    <t>Not found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</si>
</sst>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"/>
    <numFmt numFmtId="165" formatCode="[$-409]d\-mmm\-yy;@"/>
  </numFmts>
  <fonts count="12" x14ac:knownFonts="1">
    <font>
      <sz val="11"/>
      <color theme="1"/>
      <name val="Calibri"/>
      <family val="2"/>
    </font>
    <font>
      <b/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</font>
    <font>
      <sz val="11"/>
      <color theme="10"/>
      <name val="Calibri"/>
      <family val="2"/>
      <charset val="204"/>
      <scheme val="minor"/>
    </font>
    <font>
      <sz val="27"/>
      <color theme="1" tint="0.249977111117893"/>
      <name val="Calibri"/>
      <family val="2"/>
      <charset val="204"/>
      <scheme val="minor"/>
    </font>
    <font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4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/>
    <xf numFmtId="0" fontId="3" fillId="0" borderId="0"/>
  </cellStyleXfs>
  <cellXfs count="22">
    <xf numFmtId="0" fontId="0" fillId="0" borderId="0" xfId="0"/>
    <xf numFmtId="0" fontId="1" fillId="2" borderId="0" xfId="0" applyFont="1" applyFill="1"/>
    <xf numFmtId="164" fontId="0" fillId="0" borderId="0" xfId="0" applyNumberFormat="1"/>
    <xf numFmtId="0" fontId="2" fillId="0" borderId="0" xfId="0" applyFont="1"/>
    <xf numFmtId="164" fontId="2" fillId="0" borderId="0" xfId="0" applyNumberFormat="1" applyFont="1"/>
    <xf numFmtId="0" fontId="1" fillId="3" borderId="0" xfId="0" applyFont="1" applyFill="1"/>
    <xf numFmtId="0" fontId="2" fillId="0" borderId="0" xfId="0" applyFont="1" applyAlignment="1">
      <alignment vertical="center"/>
    </xf>
    <xf numFmtId="164" fontId="2" fillId="0" borderId="0" xfId="0" applyNumberFormat="1" applyFont="1" applyAlignment="1">
      <alignment vertical="center"/>
    </xf>
    <xf numFmtId="0" fontId="3" fillId="0" borderId="0" xfId="4"/>
    <xf numFmtId="0" fontId="3" fillId="4" borderId="0" xfId="4" applyFill="1"/>
    <xf numFmtId="0" fontId="3" fillId="4" borderId="0" xfId="4" applyFill="1" applyAlignment="1">
      <alignment horizontal="right"/>
    </xf>
    <xf numFmtId="0" fontId="3" fillId="4" borderId="0" xfId="4" applyFill="1" applyAlignment="1">
      <alignment vertical="top"/>
    </xf>
    <xf numFmtId="0" fontId="7" fillId="4" borderId="0" xfId="4" applyFont="1" applyFill="1" applyAlignment="1">
      <alignment vertical="top"/>
    </xf>
    <xf numFmtId="0" fontId="9" fillId="4" borderId="0" xfId="3" applyFont="1" applyFill="1"/>
    <xf numFmtId="0" fontId="3" fillId="4" borderId="0" xfId="4" applyFill="1" applyAlignment="1">
      <alignment horizontal="left"/>
    </xf>
    <xf numFmtId="165" fontId="3" fillId="4" borderId="0" xfId="4" applyNumberFormat="1" applyFill="1" applyAlignment="1">
      <alignment horizontal="left"/>
    </xf>
    <xf numFmtId="0" fontId="10" fillId="4" borderId="0" xfId="4" applyFont="1" applyFill="1" applyAlignment="1">
      <alignment horizontal="left"/>
    </xf>
    <xf numFmtId="0" fontId="11" fillId="4" borderId="0" xfId="3" applyFont="1" applyFill="1" applyAlignment="1">
      <alignment horizontal="left"/>
    </xf>
    <xf numFmtId="0" fontId="3" fillId="0" borderId="0" xfId="4" applyAlignment="1">
      <alignment horizontal="center"/>
    </xf>
    <xf numFmtId="0" fontId="3" fillId="4" borderId="0" xfId="4" applyFill="1" applyAlignment="1">
      <alignment vertical="top" wrapText="1"/>
    </xf>
    <xf numFmtId="0" fontId="11" fillId="4" borderId="0" xfId="3" applyFont="1" applyFill="1"/>
    <xf numFmtId="0" fontId="8" fillId="0" borderId="0" xfId="0" applyFont="1" applyAlignment="1">
      <alignment horizontal="center"/>
    </xf>
  </cellXfs>
  <cellStyles count="5">
    <cellStyle name="Hyperlink 2" xfId="2"/>
    <cellStyle name="Hyperlink 3" xfId="3"/>
    <cellStyle name="Normal" xfId="0" builtinId="0"/>
    <cellStyle name="Normal 2" xfId="1"/>
    <cellStyle name="Normal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https://www.ablebits.com" TargetMode="External"/><Relationship Id="rId6" Type="http://schemas.openxmlformats.org/officeDocument/2006/relationships/image" Target="../media/image4.svg"/><Relationship Id="rId5" Type="http://schemas.openxmlformats.org/officeDocument/2006/relationships/image" Target="../media/image2.png"/><Relationship Id="rId4" Type="http://schemas.openxmlformats.org/officeDocument/2006/relationships/hyperlink" Target="https://www.ablebits.com/excel-suite/index-2020.php?visitfrom=xls-books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1289681" cy="182880"/>
    <xdr:pic>
      <xdr:nvPicPr>
        <xdr:cNvPr id="4" name="Рисунок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326C7D7-FC81-41B7-81D8-89ABBF572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3"/>
            </a:ext>
          </a:extLst>
        </a:blip>
        <a:stretch>
          <a:fillRect/>
        </a:stretch>
      </xdr:blipFill>
      <xdr:spPr>
        <a:xfrm>
          <a:off x="655320" y="182880"/>
          <a:ext cx="1289681" cy="182880"/>
        </a:xfrm>
        <a:prstGeom prst="rect">
          <a:avLst/>
        </a:prstGeom>
      </xdr:spPr>
    </xdr:pic>
    <xdr:clientData/>
  </xdr:oneCellAnchor>
  <xdr:oneCellAnchor>
    <xdr:from>
      <xdr:col>1</xdr:col>
      <xdr:colOff>9525</xdr:colOff>
      <xdr:row>15</xdr:row>
      <xdr:rowOff>161925</xdr:rowOff>
    </xdr:from>
    <xdr:ext cx="6101711" cy="999165"/>
    <xdr:pic>
      <xdr:nvPicPr>
        <xdr:cNvPr id="5" name="Рисунок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30ECA078-4B92-4F02-812C-EA98FA6B9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6"/>
            </a:ext>
          </a:extLst>
        </a:blip>
        <a:stretch>
          <a:fillRect/>
        </a:stretch>
      </xdr:blipFill>
      <xdr:spPr>
        <a:xfrm>
          <a:off x="662940" y="2903220"/>
          <a:ext cx="6101711" cy="99916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605647</xdr:colOff>
      <xdr:row>0</xdr:row>
      <xdr:rowOff>125160</xdr:rowOff>
    </xdr:from>
    <xdr:to>
      <xdr:col>13</xdr:col>
      <xdr:colOff>501338</xdr:colOff>
      <xdr:row>6</xdr:row>
      <xdr:rowOff>3489</xdr:rowOff>
    </xdr:to>
    <xdr:pic macro="[0]!vlookupmutipl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12140" y="125160"/>
          <a:ext cx="1162010" cy="1026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blebits.com/office-addins-blog/2020/02/12/vlookup-multiple-sheets-excel-examples/" TargetMode="External"/><Relationship Id="rId2" Type="http://schemas.openxmlformats.org/officeDocument/2006/relationships/hyperlink" Target="https://www.ablebits.com/office-addins-blog/2020/09/09/excel-xmatch-function-formula-examples/" TargetMode="External"/><Relationship Id="rId1" Type="http://schemas.openxmlformats.org/officeDocument/2006/relationships/hyperlink" Target="https://www.ablebits.com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AR18"/>
  <sheetViews>
    <sheetView workbookViewId="0">
      <selection activeCell="B4" sqref="B4:C4"/>
    </sheetView>
  </sheetViews>
  <sheetFormatPr defaultColWidth="9.109375" defaultRowHeight="15.05" x14ac:dyDescent="0.3"/>
  <cols>
    <col min="1" max="1" width="4.77734375" style="9" customWidth="1"/>
    <col min="2" max="2" width="15.77734375" style="9" customWidth="1"/>
    <col min="3" max="3" width="84.21875" style="9" customWidth="1"/>
    <col min="4" max="16384" width="9.109375" style="9"/>
  </cols>
  <sheetData>
    <row r="4" spans="1:44" ht="35.1" x14ac:dyDescent="0.65">
      <c r="B4" s="16" t="s">
        <v>20</v>
      </c>
      <c r="C4" s="16"/>
    </row>
    <row r="6" spans="1:44" ht="27.7" customHeight="1" x14ac:dyDescent="0.3">
      <c r="B6" s="19" t="s">
        <v>27</v>
      </c>
      <c r="C6" s="19"/>
    </row>
    <row r="7" spans="1:44" x14ac:dyDescent="0.3">
      <c r="B7" s="14" t="s">
        <v>17</v>
      </c>
      <c r="C7" s="13" t="s">
        <v>31</v>
      </c>
    </row>
    <row r="8" spans="1:44" x14ac:dyDescent="0.3">
      <c r="B8" s="14" t="s">
        <v>18</v>
      </c>
      <c r="C8" s="15">
        <v>43475</v>
      </c>
    </row>
    <row r="9" spans="1:44" x14ac:dyDescent="0.3">
      <c r="B9" s="14" t="s">
        <v>19</v>
      </c>
      <c r="C9" s="20" t="s">
        <v>30</v>
      </c>
      <c r="D9" s="20"/>
    </row>
    <row r="10" spans="1:44" x14ac:dyDescent="0.3">
      <c r="B10" s="14"/>
      <c r="C10" s="13"/>
    </row>
    <row r="11" spans="1:44" x14ac:dyDescent="0.3">
      <c r="B11" s="12" t="s">
        <v>29</v>
      </c>
      <c r="C11" s="11"/>
    </row>
    <row r="12" spans="1:44" x14ac:dyDescent="0.3">
      <c r="A12" s="10" t="s">
        <v>28</v>
      </c>
      <c r="B12" s="17" t="s">
        <v>21</v>
      </c>
      <c r="C12" s="17"/>
    </row>
    <row r="13" spans="1:44" x14ac:dyDescent="0.3">
      <c r="A13" s="10" t="s">
        <v>28</v>
      </c>
      <c r="B13" s="17" t="s">
        <v>23</v>
      </c>
      <c r="C13" s="17"/>
    </row>
    <row r="14" spans="1:44" x14ac:dyDescent="0.3">
      <c r="A14" s="10" t="s">
        <v>28</v>
      </c>
      <c r="B14" s="17" t="s">
        <v>24</v>
      </c>
      <c r="C14" s="17"/>
    </row>
    <row r="15" spans="1:44" x14ac:dyDescent="0.3">
      <c r="A15" s="10" t="s">
        <v>28</v>
      </c>
      <c r="B15" s="17" t="s">
        <v>22</v>
      </c>
      <c r="C15" s="17"/>
    </row>
    <row r="16" spans="1:44" s="8" customFormat="1" x14ac:dyDescent="0.3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</row>
    <row r="18" spans="7:7" x14ac:dyDescent="0.3">
      <c r="G18" s="9" t="s">
        <v>10</v>
      </c>
    </row>
  </sheetData>
  <mergeCells count="8">
    <mergeCell ref="B4:C4"/>
    <mergeCell ref="B13:C13"/>
    <mergeCell ref="B12:C12"/>
    <mergeCell ref="A16:AR16"/>
    <mergeCell ref="B14:C14"/>
    <mergeCell ref="B15:C15"/>
    <mergeCell ref="B6:C6"/>
    <mergeCell ref="C9:D9"/>
  </mergeCells>
  <hyperlinks>
    <hyperlink ref="B13" location="'VLOOKUP IFERROR'!A1" display="VLOOKUP across multiple sheets with IFERROR"/>
    <hyperlink ref="B12" location="'Vlookup another sheet'!A1" display="VLOOKUP between two worksheets"/>
    <hyperlink ref="C7" r:id="rId1" display="https://www.Ablebits.com"/>
    <hyperlink ref="C9" r:id="rId2" display="Excel SMALL function with examples"/>
    <hyperlink ref="C9:D9" r:id="rId3" display="How to VLOOKUP across multiple sheets in Excel with examples"/>
    <hyperlink ref="B12:C12" location="'VLOOKUP across sheets'!A1" display="VLOOKUP between two worksheets"/>
    <hyperlink ref="B13:C13" location="'VLOOKUP IFERROR'!A1" display="VLOOKUP across multiple sheets with IFERROR"/>
    <hyperlink ref="B14" location="'Vlookup another sheet'!A1" display="VLOOKUP between two worksheets"/>
    <hyperlink ref="B14:C14" location="'VLOOKUP INDIRECT'!A1" display="VLOOKUP multiple sheets with INDIRECT"/>
    <hyperlink ref="B15" location="'Vlookup another sheet'!A1" display="VLOOKUP between two worksheets"/>
    <hyperlink ref="B15:C15" location="'Dynamic VLOOKUP'!A1" display="VLOOKUP and pull data from multiple sheets into different cells "/>
  </hyperlinks>
  <pageMargins left="0.7" right="0.7" top="0.75" bottom="0.75" header="0.3" footer="0.3"/>
  <pageSetup orientation="portrait" horizontalDpi="300" verticalDpi="300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5"/>
  <sheetViews>
    <sheetView workbookViewId="0">
      <selection activeCell="H4" sqref="H4"/>
    </sheetView>
  </sheetViews>
  <sheetFormatPr defaultRowHeight="15.05" x14ac:dyDescent="0.3"/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</row>
    <row r="2" spans="1:9" x14ac:dyDescent="0.3">
      <c r="A2" t="s">
        <v>4</v>
      </c>
      <c r="B2" s="2">
        <f>VLOOKUP(A2, Jan!$A$2:$B$6, 2, FALSE)</f>
        <v>100</v>
      </c>
      <c r="C2" s="2">
        <f>VLOOKUP(A2, Feb!$A$2:$B$6, 2, FALSE)</f>
        <v>130</v>
      </c>
      <c r="D2" s="2">
        <f>VLOOKUP(A2, Mar!$A$2:$B$6, 2, FALSE)</f>
        <v>128</v>
      </c>
    </row>
    <row r="3" spans="1:9" x14ac:dyDescent="0.3">
      <c r="A3" t="s">
        <v>7</v>
      </c>
      <c r="B3" s="2">
        <f>VLOOKUP(A3, Jan!$A$2:$B$6, 2, FALSE)</f>
        <v>120</v>
      </c>
      <c r="C3" s="2">
        <f>VLOOKUP(A3, Feb!$A$2:$B$6, 2, FALSE)</f>
        <v>112</v>
      </c>
      <c r="D3" s="2">
        <f>VLOOKUP(A3, Mar!$A$2:$B$6, 2, FALSE)</f>
        <v>127</v>
      </c>
    </row>
    <row r="4" spans="1:9" x14ac:dyDescent="0.3">
      <c r="A4" t="s">
        <v>6</v>
      </c>
      <c r="B4" s="2">
        <f>VLOOKUP(A4, Jan!$A$2:$B$6, 2, FALSE)</f>
        <v>118</v>
      </c>
      <c r="C4" s="2">
        <f>VLOOKUP(A4, Feb!$A$2:$B$6, 2, FALSE)</f>
        <v>110</v>
      </c>
      <c r="D4" s="2">
        <f>VLOOKUP(A4, Mar!$A$2:$B$6, 2, FALSE)</f>
        <v>132</v>
      </c>
    </row>
    <row r="5" spans="1:9" x14ac:dyDescent="0.3">
      <c r="A5" t="s">
        <v>5</v>
      </c>
      <c r="B5" s="2">
        <f>VLOOKUP(A5, Jan!$A$2:$B$6, 2, FALSE)</f>
        <v>115</v>
      </c>
      <c r="C5" s="2">
        <f>VLOOKUP(A5, Feb!$A$2:$B$6, 2, FALSE)</f>
        <v>125</v>
      </c>
      <c r="D5" s="2">
        <f>VLOOKUP(A5, Mar!$A$2:$B$6, 2, FALSE)</f>
        <v>120</v>
      </c>
    </row>
    <row r="6" spans="1:9" x14ac:dyDescent="0.3">
      <c r="A6" t="s">
        <v>8</v>
      </c>
      <c r="B6" s="2">
        <f>VLOOKUP(A6, Jan!$A$2:$B$6, 2, FALSE)</f>
        <v>125</v>
      </c>
      <c r="C6" s="2">
        <f>VLOOKUP(A6, Feb!$A$2:$B$6, 2, FALSE)</f>
        <v>126</v>
      </c>
      <c r="D6" s="2">
        <f>VLOOKUP(A6, Mar!$A$2:$B$6, 2, FALSE)</f>
        <v>130</v>
      </c>
    </row>
    <row r="9" spans="1:9" x14ac:dyDescent="0.3">
      <c r="G9" t="s">
        <v>10</v>
      </c>
    </row>
    <row r="10" spans="1:9" x14ac:dyDescent="0.3">
      <c r="A10" s="1" t="s">
        <v>0</v>
      </c>
      <c r="B10" s="1" t="s">
        <v>1</v>
      </c>
      <c r="C10" s="1" t="s">
        <v>2</v>
      </c>
      <c r="D10" s="1" t="s">
        <v>3</v>
      </c>
      <c r="F10" s="1" t="s">
        <v>0</v>
      </c>
      <c r="G10" s="1" t="s">
        <v>1</v>
      </c>
      <c r="H10" s="1" t="s">
        <v>2</v>
      </c>
      <c r="I10" s="1" t="s">
        <v>3</v>
      </c>
    </row>
    <row r="11" spans="1:9" x14ac:dyDescent="0.3">
      <c r="A11" t="s">
        <v>4</v>
      </c>
      <c r="B11" s="2">
        <f>VLOOKUP($A11,Jan!$A$1:$B$6,2,FALSE)</f>
        <v>100</v>
      </c>
      <c r="C11" s="2">
        <f>VLOOKUP($A11,Feb!$A$1:$B$6,2,FALSE)</f>
        <v>130</v>
      </c>
      <c r="D11" s="2">
        <f>VLOOKUP($A11,Mar!$A$1:$B$6,2,FALSE)</f>
        <v>128</v>
      </c>
      <c r="F11" t="s">
        <v>4</v>
      </c>
      <c r="G11" s="2">
        <f>SUMIFS(Jan!$B:$B,Jan!$A:$A,'Vlookup another sheet'!$F11)</f>
        <v>100</v>
      </c>
      <c r="H11" s="2">
        <f>SUMIFS(Feb!$B:$B,Feb!$A:$A,'Vlookup another sheet'!$F11)</f>
        <v>130</v>
      </c>
      <c r="I11" s="2">
        <f>SUMIFS(Mar!$B:$B,Mar!$A:$A,'Vlookup another sheet'!$F11)</f>
        <v>128</v>
      </c>
    </row>
    <row r="12" spans="1:9" x14ac:dyDescent="0.3">
      <c r="A12" t="s">
        <v>7</v>
      </c>
      <c r="B12" s="2">
        <f>VLOOKUP($A12,Jan!$A$1:$B$6,2,FALSE)</f>
        <v>120</v>
      </c>
      <c r="C12" s="2">
        <f>VLOOKUP($A12,Feb!$A$1:$B$6,2,FALSE)</f>
        <v>112</v>
      </c>
      <c r="D12" s="2">
        <f>VLOOKUP($A12,Mar!$A$1:$B$6,2,FALSE)</f>
        <v>127</v>
      </c>
      <c r="F12" t="s">
        <v>7</v>
      </c>
      <c r="G12" s="2">
        <f>SUMIFS(Jan!$B:$B,Jan!$A:$A,'Vlookup another sheet'!$F12)</f>
        <v>120</v>
      </c>
      <c r="H12" s="2">
        <f>SUMIFS(Feb!$B:$B,Feb!$A:$A,'Vlookup another sheet'!$F12)</f>
        <v>112</v>
      </c>
      <c r="I12" s="2">
        <f>SUMIFS(Mar!$B:$B,Mar!$A:$A,'Vlookup another sheet'!$F12)</f>
        <v>127</v>
      </c>
    </row>
    <row r="13" spans="1:9" x14ac:dyDescent="0.3">
      <c r="A13" t="s">
        <v>6</v>
      </c>
      <c r="B13" s="2">
        <f>VLOOKUP($A13,Jan!$A$1:$B$6,2,FALSE)</f>
        <v>118</v>
      </c>
      <c r="C13" s="2">
        <f>VLOOKUP($A13,Feb!$A$1:$B$6,2,FALSE)</f>
        <v>110</v>
      </c>
      <c r="D13" s="2">
        <f>VLOOKUP($A13,Mar!$A$1:$B$6,2,FALSE)</f>
        <v>132</v>
      </c>
      <c r="F13" t="s">
        <v>6</v>
      </c>
      <c r="G13" s="2">
        <f>SUMIFS(Jan!$B:$B,Jan!$A:$A,'Vlookup another sheet'!$F13)</f>
        <v>118</v>
      </c>
      <c r="H13" s="2">
        <f>SUMIFS(Feb!$B:$B,Feb!$A:$A,'Vlookup another sheet'!$F13)</f>
        <v>110</v>
      </c>
      <c r="I13" s="2">
        <f>SUMIFS(Mar!$B:$B,Mar!$A:$A,'Vlookup another sheet'!$F13)</f>
        <v>132</v>
      </c>
    </row>
    <row r="14" spans="1:9" x14ac:dyDescent="0.3">
      <c r="A14" t="s">
        <v>5</v>
      </c>
      <c r="B14" s="2">
        <f>VLOOKUP($A14,Jan!$A$1:$B$6,2,FALSE)</f>
        <v>115</v>
      </c>
      <c r="C14" s="2">
        <f>VLOOKUP($A14,Feb!$A$1:$B$6,2,FALSE)</f>
        <v>125</v>
      </c>
      <c r="D14" s="2">
        <f>VLOOKUP($A14,Mar!$A$1:$B$6,2,FALSE)</f>
        <v>120</v>
      </c>
      <c r="F14" t="s">
        <v>5</v>
      </c>
      <c r="G14" s="2">
        <f>SUMIFS(Jan!$B:$B,Jan!$A:$A,'Vlookup another sheet'!$F14)</f>
        <v>115</v>
      </c>
      <c r="H14" s="2">
        <f>SUMIFS(Feb!$B:$B,Feb!$A:$A,'Vlookup another sheet'!$F14)</f>
        <v>125</v>
      </c>
      <c r="I14" s="2">
        <f>SUMIFS(Mar!$B:$B,Mar!$A:$A,'Vlookup another sheet'!$F14)</f>
        <v>120</v>
      </c>
    </row>
    <row r="15" spans="1:9" x14ac:dyDescent="0.3">
      <c r="A15" t="s">
        <v>8</v>
      </c>
      <c r="B15" s="2">
        <f>VLOOKUP($A15,Jan!$A$1:$B$6,2,FALSE)</f>
        <v>125</v>
      </c>
      <c r="C15" s="2">
        <f>VLOOKUP($A15,Feb!$A$1:$B$6,2,FALSE)</f>
        <v>126</v>
      </c>
      <c r="D15" s="2">
        <f>VLOOKUP($A15,Mar!$A$1:$B$6,2,FALSE)</f>
        <v>130</v>
      </c>
      <c r="F15" t="s">
        <v>8</v>
      </c>
      <c r="G15" s="2">
        <f>SUMIFS(Jan!$B:$B,Jan!$A:$A,'Vlookup another sheet'!$F15)</f>
        <v>125</v>
      </c>
      <c r="H15" s="2">
        <f>SUMIFS(Feb!$B:$B,Feb!$A:$A,'Vlookup another sheet'!$F15)</f>
        <v>126</v>
      </c>
      <c r="I15" s="2">
        <f>SUMIFS(Mar!$B:$B,Mar!$A:$A,'Vlookup another sheet'!$F15)</f>
        <v>130</v>
      </c>
    </row>
  </sheetData>
  <sortState ref="A2:D6">
    <sortCondition ref="A2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41"/>
  <sheetViews>
    <sheetView tabSelected="1" topLeftCell="B28" zoomScale="108" zoomScaleNormal="108" workbookViewId="0">
      <selection activeCell="E16" sqref="E16"/>
    </sheetView>
  </sheetViews>
  <sheetFormatPr defaultRowHeight="15.05" x14ac:dyDescent="0.3"/>
  <cols>
    <col min="2" max="3" width="10.88671875" customWidth="1"/>
    <col min="7" max="7" width="10.88671875" customWidth="1"/>
  </cols>
  <sheetData>
    <row r="1" spans="1:11" x14ac:dyDescent="0.3">
      <c r="A1" s="1" t="s">
        <v>9</v>
      </c>
      <c r="B1" s="1" t="s">
        <v>0</v>
      </c>
      <c r="C1" s="1" t="s">
        <v>11</v>
      </c>
      <c r="E1" s="1" t="s">
        <v>9</v>
      </c>
      <c r="F1" s="1" t="s">
        <v>0</v>
      </c>
      <c r="G1" s="1" t="s">
        <v>11</v>
      </c>
      <c r="I1" s="1" t="s">
        <v>9</v>
      </c>
      <c r="J1" s="1" t="s">
        <v>0</v>
      </c>
      <c r="K1" s="1" t="s">
        <v>11</v>
      </c>
    </row>
    <row r="2" spans="1:11" x14ac:dyDescent="0.3">
      <c r="A2">
        <v>101</v>
      </c>
      <c r="B2" s="6" t="str" cm="1">
        <f t="array" ref="B2">IFERROR(VLOOKUP($A2, East!$A$2:$C$6, COLUMNS($A$1:B$1), FALSE), IFERROR(VLOOKUP($A2, West!$A$2:$C$6, COLUMNS($A$1:B$1), FALSE), "Not found"))</f>
        <v>Oranges</v>
      </c>
      <c r="C2" s="7" cm="1">
        <f t="array" ref="C2">IFERROR(VLOOKUP($A2, East!$A$2:$C$6, COLUMNS($A$1:C$1), FALSE), IFERROR(VLOOKUP($A2, West!$A$2:$C$6, COLUMNS($A$1:C$1), FALSE), "Not found"))</f>
        <v>125</v>
      </c>
      <c r="E2">
        <v>101</v>
      </c>
      <c r="F2" s="6" t="str">
        <f>IFERROR(VLOOKUP($E2,East!$A:$C,COLUMNS($A$1:B$1),FALSE),IFERROR(VLOOKUP($E2,North!$A:$C,COLUMNS($A$1:B$1),FALSE),IFERROR(VLOOKUP($E2,South!$A:$C,COLUMNS($A$1:B$1),FALSE),IFERROR(VLOOKUP($E2,West!$A:$C,COLUMNS($A$1:B$1),FALSE),"Not Found"))))</f>
        <v>Oranges</v>
      </c>
      <c r="G2" s="7">
        <f>IFERROR(VLOOKUP($E2,East!$A:$C,COLUMNS($A$1:C$1),FALSE),IFERROR(VLOOKUP($E2,North!$A:$C,COLUMNS($A$1:C$1),FALSE),IFERROR(VLOOKUP($E2,South!$A:$C,COLUMNS($A$1:C$1),FALSE),IFERROR(VLOOKUP($E2,West!$A:$C,COLUMNS($A$1:C$1),FALSE),"Not Found"))))</f>
        <v>125</v>
      </c>
      <c r="I2">
        <v>101</v>
      </c>
      <c r="J2" s="6" t="s">
        <v>5</v>
      </c>
      <c r="K2" s="7">
        <v>125</v>
      </c>
    </row>
    <row r="3" spans="1:11" x14ac:dyDescent="0.3">
      <c r="A3">
        <v>102</v>
      </c>
      <c r="B3" s="6" t="str" cm="1">
        <f t="array" ref="B3">IFERROR(VLOOKUP($A3, East!$A$2:$C$6, COLUMNS($A$1:B$1), FALSE), IFERROR(VLOOKUP($A3, West!$A$2:$C$6, COLUMNS($A$1:B$1), FALSE), "Not found"))</f>
        <v>Bananas</v>
      </c>
      <c r="C3" s="7" cm="1">
        <f t="array" ref="C3">IFERROR(VLOOKUP($A3, East!$A$2:$C$6, COLUMNS($A$1:C$1), FALSE), IFERROR(VLOOKUP($A3, West!$A$2:$C$6, COLUMNS($A$1:C$1), FALSE), "Not found"))</f>
        <v>120</v>
      </c>
      <c r="E3">
        <v>102</v>
      </c>
      <c r="F3" s="6" t="str">
        <f>IFERROR(VLOOKUP($E3,East!$A:$C,COLUMNS($A$1:B$1),FALSE),IFERROR(VLOOKUP($E3,North!$A:$C,COLUMNS($A$1:B$1),FALSE),IFERROR(VLOOKUP($E3,South!$A:$C,COLUMNS($A$1:B$1),FALSE),IFERROR(VLOOKUP($E3,West!$A:$C,COLUMNS($A$1:B$1),FALSE),"Not Found"))))</f>
        <v>Bananas</v>
      </c>
      <c r="G3" s="7">
        <f>IFERROR(VLOOKUP($E3,East!$A:$C,COLUMNS($A$1:C$1),FALSE),IFERROR(VLOOKUP($E3,North!$A:$C,COLUMNS($A$1:C$1),FALSE),IFERROR(VLOOKUP($E3,South!$A:$C,COLUMNS($A$1:C$1),FALSE),IFERROR(VLOOKUP($E3,West!$A:$C,COLUMNS($A$1:C$1),FALSE),"Not Found"))))</f>
        <v>120</v>
      </c>
      <c r="I3">
        <v>102</v>
      </c>
      <c r="J3" s="6" t="s">
        <v>7</v>
      </c>
      <c r="K3" s="7">
        <v>120</v>
      </c>
    </row>
    <row r="4" spans="1:11" x14ac:dyDescent="0.3">
      <c r="A4">
        <v>103</v>
      </c>
      <c r="B4" s="6" t="str" cm="1">
        <f t="array" ref="B4">IFERROR(VLOOKUP($A4, East!$A$2:$C$6, COLUMNS($A$1:B$1), FALSE), IFERROR(VLOOKUP($A4, West!$A$2:$C$6, COLUMNS($A$1:B$1), FALSE), "Not found"))</f>
        <v>Not found</v>
      </c>
      <c r="C4" s="7" t="str" cm="1">
        <f t="array" ref="C4">IFERROR(VLOOKUP($A4, East!$A$2:$C$6, COLUMNS($A$1:C$1), FALSE), IFERROR(VLOOKUP($A4, West!$A$2:$C$6, COLUMNS($A$1:C$1), FALSE), "Not found"))</f>
        <v>Not found</v>
      </c>
      <c r="E4">
        <v>103</v>
      </c>
      <c r="F4" s="6" t="str">
        <f>IFERROR(VLOOKUP($E4,East!$A:$C,COLUMNS($A$1:B$1),FALSE),IFERROR(VLOOKUP($E4,North!$A:$C,COLUMNS($A$1:B$1),FALSE),IFERROR(VLOOKUP($E4,South!$A:$C,COLUMNS($A$1:B$1),FALSE),IFERROR(VLOOKUP($E4,West!$A:$C,COLUMNS($A$1:B$1),FALSE),"Not Found"))))</f>
        <v>Not Found</v>
      </c>
      <c r="G4" s="7" t="str">
        <f>IFERROR(VLOOKUP($E4,East!$A:$C,COLUMNS($A$1:C$1),FALSE),IFERROR(VLOOKUP($E4,North!$A:$C,COLUMNS($A$1:C$1),FALSE),IFERROR(VLOOKUP($E4,South!$A:$C,COLUMNS($A$1:C$1),FALSE),IFERROR(VLOOKUP($E4,West!$A:$C,COLUMNS($A$1:C$1),FALSE),"Not Found"))))</f>
        <v>Not Found</v>
      </c>
      <c r="I4">
        <v>103</v>
      </c>
      <c r="J4" s="6" t="s">
        <v>32</v>
      </c>
      <c r="K4" s="7" t="s">
        <v>32</v>
      </c>
    </row>
    <row r="5" spans="1:11" x14ac:dyDescent="0.3">
      <c r="A5">
        <v>104</v>
      </c>
      <c r="B5" s="6" t="str" cm="1">
        <f t="array" ref="B5">IFERROR(VLOOKUP($A5, East!$A$2:$C$6, COLUMNS($A$1:B$1), FALSE), IFERROR(VLOOKUP($A5, West!$A$2:$C$6, COLUMNS($A$1:B$1), FALSE), "Not found"))</f>
        <v>Lemons</v>
      </c>
      <c r="C5" s="7" cm="1">
        <f t="array" ref="C5">IFERROR(VLOOKUP($A5, East!$A$2:$C$6, COLUMNS($A$1:C$1), FALSE), IFERROR(VLOOKUP($A5, West!$A$2:$C$6, COLUMNS($A$1:C$1), FALSE), "Not found"))</f>
        <v>132</v>
      </c>
      <c r="E5">
        <v>104</v>
      </c>
      <c r="F5" s="6" t="str">
        <f>IFERROR(VLOOKUP($E5,East!$A:$C,COLUMNS($A$1:B$1),FALSE),IFERROR(VLOOKUP($E5,North!$A:$C,COLUMNS($A$1:B$1),FALSE),IFERROR(VLOOKUP($E5,South!$A:$C,COLUMNS($A$1:B$1),FALSE),IFERROR(VLOOKUP($E5,West!$A:$C,COLUMNS($A$1:B$1),FALSE),"Not Found"))))</f>
        <v>Lemons</v>
      </c>
      <c r="G5" s="7">
        <f>IFERROR(VLOOKUP($E5,East!$A:$C,COLUMNS($A$1:C$1),FALSE),IFERROR(VLOOKUP($E5,North!$A:$C,COLUMNS($A$1:C$1),FALSE),IFERROR(VLOOKUP($E5,South!$A:$C,COLUMNS($A$1:C$1),FALSE),IFERROR(VLOOKUP($E5,West!$A:$C,COLUMNS($A$1:C$1),FALSE),"Not Found"))))</f>
        <v>132</v>
      </c>
      <c r="I5">
        <v>104</v>
      </c>
      <c r="J5" s="6" t="s">
        <v>6</v>
      </c>
      <c r="K5" s="7">
        <v>132</v>
      </c>
    </row>
    <row r="6" spans="1:11" x14ac:dyDescent="0.3">
      <c r="A6">
        <v>105</v>
      </c>
      <c r="B6" s="6" t="str" cm="1">
        <f t="array" ref="B6">IFERROR(VLOOKUP($A6, East!$A$2:$C$6, COLUMNS($A$1:B$1), FALSE), IFERROR(VLOOKUP($A6, West!$A$2:$C$6, COLUMNS($A$1:B$1), FALSE), "Not found"))</f>
        <v>Bananas</v>
      </c>
      <c r="C6" s="7" cm="1">
        <f t="array" ref="C6">IFERROR(VLOOKUP($A6, East!$A$2:$C$6, COLUMNS($A$1:C$1), FALSE), IFERROR(VLOOKUP($A6, West!$A$2:$C$6, COLUMNS($A$1:C$1), FALSE), "Not found"))</f>
        <v>100</v>
      </c>
      <c r="E6">
        <v>105</v>
      </c>
      <c r="F6" s="6" t="str">
        <f>IFERROR(VLOOKUP($E6,East!$A:$C,COLUMNS($A$1:B$1),FALSE),IFERROR(VLOOKUP($E6,North!$A:$C,COLUMNS($A$1:B$1),FALSE),IFERROR(VLOOKUP($E6,South!$A:$C,COLUMNS($A$1:B$1),FALSE),IFERROR(VLOOKUP($E6,West!$A:$C,COLUMNS($A$1:B$1),FALSE),"Not Found"))))</f>
        <v>Bananas</v>
      </c>
      <c r="G6" s="7">
        <f>IFERROR(VLOOKUP($E6,East!$A:$C,COLUMNS($A$1:C$1),FALSE),IFERROR(VLOOKUP($E6,North!$A:$C,COLUMNS($A$1:C$1),FALSE),IFERROR(VLOOKUP($E6,South!$A:$C,COLUMNS($A$1:C$1),FALSE),IFERROR(VLOOKUP($E6,West!$A:$C,COLUMNS($A$1:C$1),FALSE),"Not Found"))))</f>
        <v>100</v>
      </c>
      <c r="I6">
        <v>105</v>
      </c>
      <c r="J6" s="6" t="s">
        <v>7</v>
      </c>
      <c r="K6" s="7">
        <v>100</v>
      </c>
    </row>
    <row r="7" spans="1:11" x14ac:dyDescent="0.3">
      <c r="A7">
        <v>106</v>
      </c>
      <c r="B7" s="6" t="str" cm="1">
        <f t="array" ref="B7">IFERROR(VLOOKUP($A7, East!$A$2:$C$6, COLUMNS($A$1:B$1), FALSE), IFERROR(VLOOKUP($A7, West!$A$2:$C$6, COLUMNS($A$1:B$1), FALSE), "Not found"))</f>
        <v>Pears</v>
      </c>
      <c r="C7" s="7" cm="1">
        <f t="array" ref="C7">IFERROR(VLOOKUP($A7, East!$A$2:$C$6, COLUMNS($A$1:C$1), FALSE), IFERROR(VLOOKUP($A7, West!$A$2:$C$6, COLUMNS($A$1:C$1), FALSE), "Not found"))</f>
        <v>110</v>
      </c>
      <c r="E7">
        <v>106</v>
      </c>
      <c r="F7" s="6" t="str">
        <f>IFERROR(VLOOKUP($E7,East!$A:$C,COLUMNS($A$1:B$1),FALSE),IFERROR(VLOOKUP($E7,North!$A:$C,COLUMNS($A$1:B$1),FALSE),IFERROR(VLOOKUP($E7,South!$A:$C,COLUMNS($A$1:B$1),FALSE),IFERROR(VLOOKUP($E7,West!$A:$C,COLUMNS($A$1:B$1),FALSE),"Not Found"))))</f>
        <v>Pears</v>
      </c>
      <c r="G7" s="7">
        <f>IFERROR(VLOOKUP($E7,East!$A:$C,COLUMNS($A$1:C$1),FALSE),IFERROR(VLOOKUP($E7,North!$A:$C,COLUMNS($A$1:C$1),FALSE),IFERROR(VLOOKUP($E7,South!$A:$C,COLUMNS($A$1:C$1),FALSE),IFERROR(VLOOKUP($E7,West!$A:$C,COLUMNS($A$1:C$1),FALSE),"Not Found"))))</f>
        <v>110</v>
      </c>
      <c r="I7">
        <v>106</v>
      </c>
      <c r="J7" s="6" t="s">
        <v>8</v>
      </c>
      <c r="K7" s="7">
        <v>110</v>
      </c>
    </row>
    <row r="8" spans="1:11" x14ac:dyDescent="0.3">
      <c r="A8">
        <v>107</v>
      </c>
      <c r="B8" s="6" t="str" cm="1">
        <f t="array" ref="B8">IFERROR(VLOOKUP($A8, East!$A$2:$C$6, COLUMNS($A$1:B$1), FALSE), IFERROR(VLOOKUP($A8, West!$A$2:$C$6, COLUMNS($A$1:B$1), FALSE), "Not found"))</f>
        <v>Lemons</v>
      </c>
      <c r="C8" s="7" cm="1">
        <f t="array" ref="C8">IFERROR(VLOOKUP($A8, East!$A$2:$C$6, COLUMNS($A$1:C$1), FALSE), IFERROR(VLOOKUP($A8, West!$A$2:$C$6, COLUMNS($A$1:C$1), FALSE), "Not found"))</f>
        <v>145</v>
      </c>
      <c r="E8">
        <v>107</v>
      </c>
      <c r="F8" s="6" t="str">
        <f>IFERROR(VLOOKUP($E8,East!$A:$C,COLUMNS($A$1:B$1),FALSE),IFERROR(VLOOKUP($E8,North!$A:$C,COLUMNS($A$1:B$1),FALSE),IFERROR(VLOOKUP($E8,South!$A:$C,COLUMNS($A$1:B$1),FALSE),IFERROR(VLOOKUP($E8,West!$A:$C,COLUMNS($A$1:B$1),FALSE),"Not Found"))))</f>
        <v>Lemons</v>
      </c>
      <c r="G8" s="7">
        <f>IFERROR(VLOOKUP($E8,East!$A:$C,COLUMNS($A$1:C$1),FALSE),IFERROR(VLOOKUP($E8,North!$A:$C,COLUMNS($A$1:C$1),FALSE),IFERROR(VLOOKUP($E8,South!$A:$C,COLUMNS($A$1:C$1),FALSE),IFERROR(VLOOKUP($E8,West!$A:$C,COLUMNS($A$1:C$1),FALSE),"Not Found"))))</f>
        <v>145</v>
      </c>
      <c r="I8">
        <v>107</v>
      </c>
      <c r="J8" s="6" t="s">
        <v>6</v>
      </c>
      <c r="K8" s="7">
        <v>145</v>
      </c>
    </row>
    <row r="9" spans="1:11" x14ac:dyDescent="0.3">
      <c r="A9">
        <v>108</v>
      </c>
      <c r="B9" s="6" t="str" cm="1">
        <f t="array" ref="B9">IFERROR(VLOOKUP($A9, East!$A$2:$C$6, COLUMNS($A$1:B$1), FALSE), IFERROR(VLOOKUP($A9, West!$A$2:$C$6, COLUMNS($A$1:B$1), FALSE), "Not found"))</f>
        <v>Apples</v>
      </c>
      <c r="C9" s="7" cm="1">
        <f t="array" ref="C9">IFERROR(VLOOKUP($A9, East!$A$2:$C$6, COLUMNS($A$1:C$1), FALSE), IFERROR(VLOOKUP($A9, West!$A$2:$C$6, COLUMNS($A$1:C$1), FALSE), "Not found"))</f>
        <v>118</v>
      </c>
      <c r="E9">
        <v>108</v>
      </c>
      <c r="F9" s="6" t="str">
        <f>IFERROR(VLOOKUP($E9,East!$A:$C,COLUMNS($A$1:B$1),FALSE),IFERROR(VLOOKUP($E9,North!$A:$C,COLUMNS($A$1:B$1),FALSE),IFERROR(VLOOKUP($E9,South!$A:$C,COLUMNS($A$1:B$1),FALSE),IFERROR(VLOOKUP($E9,West!$A:$C,COLUMNS($A$1:B$1),FALSE),"Not Found"))))</f>
        <v>Apples</v>
      </c>
      <c r="G9" s="7">
        <f>IFERROR(VLOOKUP($E9,East!$A:$C,COLUMNS($A$1:C$1),FALSE),IFERROR(VLOOKUP($E9,North!$A:$C,COLUMNS($A$1:C$1),FALSE),IFERROR(VLOOKUP($E9,South!$A:$C,COLUMNS($A$1:C$1),FALSE),IFERROR(VLOOKUP($E9,West!$A:$C,COLUMNS($A$1:C$1),FALSE),"Not Found"))))</f>
        <v>118</v>
      </c>
      <c r="I9">
        <v>108</v>
      </c>
      <c r="J9" s="6" t="s">
        <v>4</v>
      </c>
      <c r="K9" s="7">
        <v>118</v>
      </c>
    </row>
    <row r="10" spans="1:11" x14ac:dyDescent="0.3">
      <c r="A10">
        <v>109</v>
      </c>
      <c r="B10" s="6" t="str" cm="1">
        <f t="array" ref="B10">IFERROR(VLOOKUP($A10, East!$A$2:$C$6, COLUMNS($A$1:B$1), FALSE), IFERROR(VLOOKUP($A10, West!$A$2:$C$6, COLUMNS($A$1:B$1), FALSE), "Not found"))</f>
        <v>Pears</v>
      </c>
      <c r="C10" s="7" cm="1">
        <f t="array" ref="C10">IFERROR(VLOOKUP($A10, East!$A$2:$C$6, COLUMNS($A$1:C$1), FALSE), IFERROR(VLOOKUP($A10, West!$A$2:$C$6, COLUMNS($A$1:C$1), FALSE), "Not found"))</f>
        <v>115</v>
      </c>
      <c r="E10">
        <v>109</v>
      </c>
      <c r="F10" s="6" t="str">
        <f>IFERROR(VLOOKUP($E10,East!$A:$C,COLUMNS($A$1:B$1),FALSE),IFERROR(VLOOKUP($E10,North!$A:$C,COLUMNS($A$1:B$1),FALSE),IFERROR(VLOOKUP($E10,South!$A:$C,COLUMNS($A$1:B$1),FALSE),IFERROR(VLOOKUP($E10,West!$A:$C,COLUMNS($A$1:B$1),FALSE),"Not Found"))))</f>
        <v>Pears</v>
      </c>
      <c r="G10" s="7">
        <f>IFERROR(VLOOKUP($E10,East!$A:$C,COLUMNS($A$1:C$1),FALSE),IFERROR(VLOOKUP($E10,North!$A:$C,COLUMNS($A$1:C$1),FALSE),IFERROR(VLOOKUP($E10,South!$A:$C,COLUMNS($A$1:C$1),FALSE),IFERROR(VLOOKUP($E10,West!$A:$C,COLUMNS($A$1:C$1),FALSE),"Not Found"))))</f>
        <v>115</v>
      </c>
      <c r="I10">
        <v>109</v>
      </c>
      <c r="J10" s="6" t="s">
        <v>8</v>
      </c>
      <c r="K10" s="7">
        <v>115</v>
      </c>
    </row>
    <row r="11" spans="1:11" x14ac:dyDescent="0.3">
      <c r="A11">
        <v>110</v>
      </c>
      <c r="B11" s="6" t="str" cm="1">
        <f t="array" ref="B11">IFERROR(VLOOKUP($A11, East!$A$2:$C$6, COLUMNS($A$1:B$1), FALSE), IFERROR(VLOOKUP($A11, West!$A$2:$C$6, COLUMNS($A$1:B$1), FALSE), "Not found"))</f>
        <v>Apples</v>
      </c>
      <c r="C11" s="7" cm="1">
        <f t="array" ref="C11">IFERROR(VLOOKUP($A11, East!$A$2:$C$6, COLUMNS($A$1:C$1), FALSE), IFERROR(VLOOKUP($A11, West!$A$2:$C$6, COLUMNS($A$1:C$1), FALSE), "Not found"))</f>
        <v>100</v>
      </c>
      <c r="E11">
        <v>110</v>
      </c>
      <c r="F11" s="6" t="str">
        <f>IFERROR(VLOOKUP($E11,East!$A:$C,COLUMNS($A$1:B$1),FALSE),IFERROR(VLOOKUP($E11,North!$A:$C,COLUMNS($A$1:B$1),FALSE),IFERROR(VLOOKUP($E11,South!$A:$C,COLUMNS($A$1:B$1),FALSE),IFERROR(VLOOKUP($E11,West!$A:$C,COLUMNS($A$1:B$1),FALSE),"Not Found"))))</f>
        <v>Apples</v>
      </c>
      <c r="G11" s="7">
        <f>IFERROR(VLOOKUP($E11,East!$A:$C,COLUMNS($A$1:C$1),FALSE),IFERROR(VLOOKUP($E11,North!$A:$C,COLUMNS($A$1:C$1),FALSE),IFERROR(VLOOKUP($E11,South!$A:$C,COLUMNS($A$1:C$1),FALSE),IFERROR(VLOOKUP($E11,West!$A:$C,COLUMNS($A$1:C$1),FALSE),"Not Found"))))</f>
        <v>100</v>
      </c>
      <c r="I11">
        <v>110</v>
      </c>
      <c r="J11" s="6" t="s">
        <v>4</v>
      </c>
      <c r="K11" s="7">
        <v>100</v>
      </c>
    </row>
    <row r="12" spans="1:11" x14ac:dyDescent="0.3">
      <c r="B12" s="6"/>
      <c r="C12" s="4"/>
      <c r="I12">
        <v>101</v>
      </c>
      <c r="J12" t="s">
        <v>5</v>
      </c>
      <c r="K12">
        <v>125</v>
      </c>
    </row>
    <row r="13" spans="1:11" x14ac:dyDescent="0.3">
      <c r="B13" s="6"/>
      <c r="C13" s="4"/>
      <c r="I13">
        <v>102</v>
      </c>
      <c r="J13" t="s">
        <v>7</v>
      </c>
      <c r="K13">
        <v>120</v>
      </c>
    </row>
    <row r="14" spans="1:11" x14ac:dyDescent="0.3">
      <c r="B14" s="6"/>
      <c r="C14" s="4"/>
      <c r="I14">
        <v>103</v>
      </c>
      <c r="J14" t="s">
        <v>32</v>
      </c>
      <c r="K14" t="s">
        <v>32</v>
      </c>
    </row>
    <row r="15" spans="1:11" x14ac:dyDescent="0.3">
      <c r="B15" s="6"/>
      <c r="C15" s="4"/>
      <c r="I15">
        <v>104</v>
      </c>
      <c r="J15" t="s">
        <v>6</v>
      </c>
      <c r="K15">
        <v>132</v>
      </c>
    </row>
    <row r="16" spans="1:11" x14ac:dyDescent="0.3">
      <c r="B16" s="6"/>
      <c r="C16" s="4"/>
      <c r="I16">
        <v>105</v>
      </c>
      <c r="J16" t="s">
        <v>7</v>
      </c>
      <c r="K16">
        <v>100</v>
      </c>
    </row>
    <row r="17" spans="2:11" x14ac:dyDescent="0.3">
      <c r="B17" s="6"/>
      <c r="C17" s="4"/>
      <c r="I17">
        <v>106</v>
      </c>
      <c r="J17" t="s">
        <v>8</v>
      </c>
      <c r="K17">
        <v>110</v>
      </c>
    </row>
    <row r="18" spans="2:11" x14ac:dyDescent="0.3">
      <c r="B18" s="6"/>
      <c r="C18" s="4"/>
      <c r="I18">
        <v>107</v>
      </c>
      <c r="J18" t="s">
        <v>6</v>
      </c>
      <c r="K18">
        <v>145</v>
      </c>
    </row>
    <row r="19" spans="2:11" x14ac:dyDescent="0.3">
      <c r="B19" s="6"/>
      <c r="C19" s="4"/>
      <c r="I19">
        <v>108</v>
      </c>
      <c r="J19" t="s">
        <v>4</v>
      </c>
      <c r="K19">
        <v>118</v>
      </c>
    </row>
    <row r="20" spans="2:11" x14ac:dyDescent="0.3">
      <c r="B20" s="6"/>
      <c r="C20" s="4"/>
      <c r="I20">
        <v>109</v>
      </c>
      <c r="J20" t="s">
        <v>8</v>
      </c>
      <c r="K20">
        <v>115</v>
      </c>
    </row>
    <row r="21" spans="2:11" x14ac:dyDescent="0.3">
      <c r="B21" s="6"/>
      <c r="C21" s="4"/>
      <c r="I21">
        <v>110</v>
      </c>
      <c r="J21" t="s">
        <v>4</v>
      </c>
      <c r="K21">
        <v>100</v>
      </c>
    </row>
    <row r="22" spans="2:11" x14ac:dyDescent="0.3">
      <c r="I22">
        <v>101</v>
      </c>
      <c r="J22" t="s">
        <v>5</v>
      </c>
      <c r="K22">
        <v>125</v>
      </c>
    </row>
    <row r="23" spans="2:11" x14ac:dyDescent="0.3">
      <c r="I23">
        <v>102</v>
      </c>
      <c r="J23" t="s">
        <v>7</v>
      </c>
      <c r="K23">
        <v>120</v>
      </c>
    </row>
    <row r="24" spans="2:11" x14ac:dyDescent="0.3">
      <c r="F24" t="s">
        <v>10</v>
      </c>
      <c r="I24">
        <v>103</v>
      </c>
      <c r="J24" t="s">
        <v>32</v>
      </c>
      <c r="K24" t="s">
        <v>32</v>
      </c>
    </row>
    <row r="25" spans="2:11" x14ac:dyDescent="0.3">
      <c r="I25">
        <v>104</v>
      </c>
      <c r="J25" t="s">
        <v>6</v>
      </c>
      <c r="K25">
        <v>132</v>
      </c>
    </row>
    <row r="26" spans="2:11" x14ac:dyDescent="0.3">
      <c r="I26">
        <v>105</v>
      </c>
      <c r="J26" t="s">
        <v>7</v>
      </c>
      <c r="K26">
        <v>100</v>
      </c>
    </row>
    <row r="27" spans="2:11" x14ac:dyDescent="0.3">
      <c r="I27">
        <v>106</v>
      </c>
      <c r="J27" t="s">
        <v>8</v>
      </c>
      <c r="K27">
        <v>110</v>
      </c>
    </row>
    <row r="28" spans="2:11" x14ac:dyDescent="0.3">
      <c r="I28">
        <v>107</v>
      </c>
      <c r="J28" t="s">
        <v>6</v>
      </c>
      <c r="K28">
        <v>145</v>
      </c>
    </row>
    <row r="29" spans="2:11" x14ac:dyDescent="0.3">
      <c r="I29">
        <v>108</v>
      </c>
      <c r="J29" t="s">
        <v>4</v>
      </c>
      <c r="K29">
        <v>118</v>
      </c>
    </row>
    <row r="30" spans="2:11" x14ac:dyDescent="0.3">
      <c r="I30">
        <v>109</v>
      </c>
      <c r="J30" t="s">
        <v>8</v>
      </c>
      <c r="K30">
        <v>115</v>
      </c>
    </row>
    <row r="31" spans="2:11" x14ac:dyDescent="0.3">
      <c r="I31">
        <v>110</v>
      </c>
      <c r="J31" t="s">
        <v>4</v>
      </c>
      <c r="K31">
        <v>100</v>
      </c>
    </row>
    <row r="32" spans="2:11" x14ac:dyDescent="0.3">
      <c r="I32">
        <v>101</v>
      </c>
      <c r="J32" t="s">
        <v>5</v>
      </c>
      <c r="K32">
        <v>125</v>
      </c>
    </row>
    <row r="33" spans="9:11" x14ac:dyDescent="0.3">
      <c r="I33">
        <v>102</v>
      </c>
      <c r="J33" t="s">
        <v>7</v>
      </c>
      <c r="K33">
        <v>120</v>
      </c>
    </row>
    <row r="34" spans="9:11" x14ac:dyDescent="0.3">
      <c r="I34">
        <v>103</v>
      </c>
      <c r="J34" t="s">
        <v>32</v>
      </c>
      <c r="K34" t="s">
        <v>32</v>
      </c>
    </row>
    <row r="35" spans="9:11" x14ac:dyDescent="0.3">
      <c r="I35">
        <v>104</v>
      </c>
      <c r="J35" t="s">
        <v>6</v>
      </c>
      <c r="K35">
        <v>132</v>
      </c>
    </row>
    <row r="36" spans="9:11" x14ac:dyDescent="0.3">
      <c r="I36">
        <v>105</v>
      </c>
      <c r="J36" t="s">
        <v>7</v>
      </c>
      <c r="K36">
        <v>100</v>
      </c>
    </row>
    <row r="37" spans="9:11" x14ac:dyDescent="0.3">
      <c r="I37">
        <v>106</v>
      </c>
      <c r="J37" t="s">
        <v>8</v>
      </c>
      <c r="K37">
        <v>110</v>
      </c>
    </row>
    <row r="38" spans="9:11" x14ac:dyDescent="0.3">
      <c r="I38">
        <v>107</v>
      </c>
      <c r="J38" t="s">
        <v>6</v>
      </c>
      <c r="K38">
        <v>145</v>
      </c>
    </row>
    <row r="39" spans="9:11" x14ac:dyDescent="0.3">
      <c r="I39">
        <v>108</v>
      </c>
      <c r="J39" t="s">
        <v>4</v>
      </c>
      <c r="K39">
        <v>118</v>
      </c>
    </row>
    <row r="40" spans="9:11" x14ac:dyDescent="0.3">
      <c r="I40">
        <v>109</v>
      </c>
      <c r="J40" t="s">
        <v>8</v>
      </c>
      <c r="K40">
        <v>115</v>
      </c>
    </row>
    <row r="41" spans="9:11" x14ac:dyDescent="0.3">
      <c r="I41">
        <v>110</v>
      </c>
      <c r="J41" t="s">
        <v>4</v>
      </c>
      <c r="K41">
        <v>100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3"/>
  <sheetViews>
    <sheetView workbookViewId="0">
      <selection activeCell="B2" sqref="B2"/>
    </sheetView>
  </sheetViews>
  <sheetFormatPr defaultRowHeight="15.05" x14ac:dyDescent="0.3"/>
  <cols>
    <col min="2" max="2" width="10" bestFit="1" customWidth="1"/>
    <col min="3" max="3" width="10.88671875" customWidth="1"/>
  </cols>
  <sheetData>
    <row r="1" spans="1:3" x14ac:dyDescent="0.3">
      <c r="A1" s="1" t="s">
        <v>9</v>
      </c>
      <c r="B1" s="1" t="s">
        <v>0</v>
      </c>
      <c r="C1" s="1" t="s">
        <v>11</v>
      </c>
    </row>
    <row r="2" spans="1:3" x14ac:dyDescent="0.3">
      <c r="A2">
        <v>101</v>
      </c>
      <c r="B2" s="3" t="str">
        <f t="array" aca="1" ref="B2" ca="1">_xlfn.IFNA(VLOOKUP($A2, INDIRECT("'"&amp;INDEX(Lookup_sheets, MATCH(1, --(COUNTIF(INDIRECT("'" &amp; Lookup_sheets &amp; "'!$A$2:$A$6"), $A2)&gt;0), 0)) &amp; "'!$A$2:$C$6"), 2, FALSE), "Not found")</f>
        <v>Oranges</v>
      </c>
      <c r="C2" s="4">
        <f t="array" aca="1" ref="C2" ca="1">_xlfn.IFNA(VLOOKUP($A2, INDIRECT("'"&amp;INDEX(Lookup_sheets, MATCH(1, --(COUNTIF(INDIRECT("'" &amp; Lookup_sheets &amp; "'!$A$2:$A$6"), $A2)&gt;0), 0)) &amp; "'!$A$2:$C$6"), 3, FALSE), "Not found")</f>
        <v>125</v>
      </c>
    </row>
    <row r="3" spans="1:3" x14ac:dyDescent="0.3">
      <c r="A3">
        <v>102</v>
      </c>
      <c r="B3" s="3" t="str">
        <f t="array" aca="1" ref="B3" ca="1">_xlfn.IFNA(VLOOKUP($A3, INDIRECT("'"&amp;INDEX(Lookup_sheets, MATCH(1, --(COUNTIF(INDIRECT("'" &amp; Lookup_sheets &amp; "'!$A$2:$A$6"), $A3)&gt;0), 0)) &amp; "'!$A$2:$C$6"), 2, FALSE), "Not found")</f>
        <v>Bananas</v>
      </c>
      <c r="C3" s="4">
        <f t="array" aca="1" ref="C3" ca="1">_xlfn.IFNA(VLOOKUP($A3, INDIRECT("'"&amp;INDEX(Lookup_sheets, MATCH(1, --(COUNTIF(INDIRECT("'" &amp; Lookup_sheets &amp; "'!$A$2:$A$6"), $A3)&gt;0), 0)) &amp; "'!$A$2:$C$6"), 3, FALSE), "Not found")</f>
        <v>120</v>
      </c>
    </row>
    <row r="4" spans="1:3" x14ac:dyDescent="0.3">
      <c r="A4">
        <v>103</v>
      </c>
      <c r="B4" s="3" t="str">
        <f t="array" aca="1" ref="B4" ca="1">_xlfn.IFNA(VLOOKUP($A4, INDIRECT("'"&amp;INDEX(Lookup_sheets, MATCH(1, --(COUNTIF(INDIRECT("'" &amp; Lookup_sheets &amp; "'!$A$2:$A$6"), $A4)&gt;0), 0)) &amp; "'!$A$2:$C$6"), 2, FALSE), "Not found")</f>
        <v>Not found</v>
      </c>
      <c r="C4" s="4" t="str">
        <f t="array" aca="1" ref="C4" ca="1">_xlfn.IFNA(VLOOKUP($A4, INDIRECT("'"&amp;INDEX(Lookup_sheets, MATCH(1, --(COUNTIF(INDIRECT("'" &amp; Lookup_sheets &amp; "'!$A$2:$A$6"), $A4)&gt;0), 0)) &amp; "'!$A$2:$C$6"), 3, FALSE), "Not found")</f>
        <v>Not found</v>
      </c>
    </row>
    <row r="5" spans="1:3" x14ac:dyDescent="0.3">
      <c r="A5">
        <v>104</v>
      </c>
      <c r="B5" s="3" t="str">
        <f t="array" aca="1" ref="B5" ca="1">_xlfn.IFNA(VLOOKUP($A5, INDIRECT("'"&amp;INDEX(Lookup_sheets, MATCH(1, --(COUNTIF(INDIRECT("'" &amp; Lookup_sheets &amp; "'!$A$2:$A$6"), $A5)&gt;0), 0)) &amp; "'!$A$2:$C$6"), 2, FALSE), "Not found")</f>
        <v>Lemons</v>
      </c>
      <c r="C5" s="4">
        <f t="array" aca="1" ref="C5" ca="1">_xlfn.IFNA(VLOOKUP($A5, INDIRECT("'"&amp;INDEX(Lookup_sheets, MATCH(1, --(COUNTIF(INDIRECT("'" &amp; Lookup_sheets &amp; "'!$A$2:$A$6"), $A5)&gt;0), 0)) &amp; "'!$A$2:$C$6"), 3, FALSE), "Not found")</f>
        <v>132</v>
      </c>
    </row>
    <row r="6" spans="1:3" x14ac:dyDescent="0.3">
      <c r="A6">
        <v>105</v>
      </c>
      <c r="B6" s="3" t="str">
        <f t="array" aca="1" ref="B6" ca="1">_xlfn.IFNA(VLOOKUP($A6, INDIRECT("'"&amp;INDEX(Lookup_sheets, MATCH(1, --(COUNTIF(INDIRECT("'" &amp; Lookup_sheets &amp; "'!$A$2:$A$6"), $A6)&gt;0), 0)) &amp; "'!$A$2:$C$6"), 2, FALSE), "Not found")</f>
        <v>Bananas</v>
      </c>
      <c r="C6" s="4">
        <f t="array" aca="1" ref="C6" ca="1">_xlfn.IFNA(VLOOKUP($A6, INDIRECT("'"&amp;INDEX(Lookup_sheets, MATCH(1, --(COUNTIF(INDIRECT("'" &amp; Lookup_sheets &amp; "'!$A$2:$A$6"), $A6)&gt;0), 0)) &amp; "'!$A$2:$C$6"), 3, FALSE), "Not found")</f>
        <v>100</v>
      </c>
    </row>
    <row r="7" spans="1:3" x14ac:dyDescent="0.3">
      <c r="A7">
        <v>106</v>
      </c>
      <c r="B7" s="3" t="str">
        <f t="array" aca="1" ref="B7" ca="1">_xlfn.IFNA(VLOOKUP($A7, INDIRECT("'"&amp;INDEX(Lookup_sheets, MATCH(1, --(COUNTIF(INDIRECT("'" &amp; Lookup_sheets &amp; "'!$A$2:$A$6"), $A7)&gt;0), 0)) &amp; "'!$A$2:$C$6"), 2, FALSE), "Not found")</f>
        <v>Pears</v>
      </c>
      <c r="C7" s="4">
        <f t="array" aca="1" ref="C7" ca="1">_xlfn.IFNA(VLOOKUP($A7, INDIRECT("'"&amp;INDEX(Lookup_sheets, MATCH(1, --(COUNTIF(INDIRECT("'" &amp; Lookup_sheets &amp; "'!$A$2:$A$6"), $A7)&gt;0), 0)) &amp; "'!$A$2:$C$6"), 3, FALSE), "Not found")</f>
        <v>110</v>
      </c>
    </row>
    <row r="8" spans="1:3" x14ac:dyDescent="0.3">
      <c r="A8">
        <v>107</v>
      </c>
      <c r="B8" s="3" t="str">
        <f t="array" aca="1" ref="B8" ca="1">_xlfn.IFNA(VLOOKUP($A8, INDIRECT("'"&amp;INDEX(Lookup_sheets, MATCH(1, --(COUNTIF(INDIRECT("'" &amp; Lookup_sheets &amp; "'!$A$2:$A$6"), $A8)&gt;0), 0)) &amp; "'!$A$2:$C$6"), 2, FALSE), "Not found")</f>
        <v>Lemons</v>
      </c>
      <c r="C8" s="4">
        <f t="array" aca="1" ref="C8" ca="1">_xlfn.IFNA(VLOOKUP($A8, INDIRECT("'"&amp;INDEX(Lookup_sheets, MATCH(1, --(COUNTIF(INDIRECT("'" &amp; Lookup_sheets &amp; "'!$A$2:$A$6"), $A8)&gt;0), 0)) &amp; "'!$A$2:$C$6"), 3, FALSE), "Not found")</f>
        <v>145</v>
      </c>
    </row>
    <row r="9" spans="1:3" x14ac:dyDescent="0.3">
      <c r="A9">
        <v>108</v>
      </c>
      <c r="B9" s="3" t="str">
        <f t="array" aca="1" ref="B9" ca="1">_xlfn.IFNA(VLOOKUP($A9, INDIRECT("'"&amp;INDEX(Lookup_sheets, MATCH(1, --(COUNTIF(INDIRECT("'" &amp; Lookup_sheets &amp; "'!$A$2:$A$6"), $A9)&gt;0), 0)) &amp; "'!$A$2:$C$6"), 2, FALSE), "Not found")</f>
        <v>Apples</v>
      </c>
      <c r="C9" s="4">
        <f t="array" aca="1" ref="C9" ca="1">_xlfn.IFNA(VLOOKUP($A9, INDIRECT("'"&amp;INDEX(Lookup_sheets, MATCH(1, --(COUNTIF(INDIRECT("'" &amp; Lookup_sheets &amp; "'!$A$2:$A$6"), $A9)&gt;0), 0)) &amp; "'!$A$2:$C$6"), 3, FALSE), "Not found")</f>
        <v>118</v>
      </c>
    </row>
    <row r="10" spans="1:3" x14ac:dyDescent="0.3">
      <c r="A10">
        <v>109</v>
      </c>
      <c r="B10" s="3" t="str">
        <f t="array" aca="1" ref="B10" ca="1">_xlfn.IFNA(VLOOKUP($A10, INDIRECT("'"&amp;INDEX(Lookup_sheets, MATCH(1, --(COUNTIF(INDIRECT("'" &amp; Lookup_sheets &amp; "'!$A$2:$A$6"), $A10)&gt;0), 0)) &amp; "'!$A$2:$C$6"), 2, FALSE), "Not found")</f>
        <v>Pears</v>
      </c>
      <c r="C10" s="4">
        <f t="array" aca="1" ref="C10" ca="1">_xlfn.IFNA(VLOOKUP($A10, INDIRECT("'"&amp;INDEX(Lookup_sheets, MATCH(1, --(COUNTIF(INDIRECT("'" &amp; Lookup_sheets &amp; "'!$A$2:$A$6"), $A10)&gt;0), 0)) &amp; "'!$A$2:$C$6"), 3, FALSE), "Not found")</f>
        <v>115</v>
      </c>
    </row>
    <row r="11" spans="1:3" x14ac:dyDescent="0.3">
      <c r="A11">
        <v>110</v>
      </c>
      <c r="B11" s="3" t="str">
        <f t="array" aca="1" ref="B11" ca="1">_xlfn.IFNA(VLOOKUP($A11, INDIRECT("'"&amp;INDEX(Lookup_sheets, MATCH(1, --(COUNTIF(INDIRECT("'" &amp; Lookup_sheets &amp; "'!$A$2:$A$6"), $A11)&gt;0), 0)) &amp; "'!$A$2:$C$6"), 2, FALSE), "Not found")</f>
        <v>Apples</v>
      </c>
      <c r="C11" s="4">
        <f t="array" aca="1" ref="C11" ca="1">_xlfn.IFNA(VLOOKUP($A11, INDIRECT("'"&amp;INDEX(Lookup_sheets, MATCH(1, --(COUNTIF(INDIRECT("'" &amp; Lookup_sheets &amp; "'!$A$2:$A$6"), $A11)&gt;0), 0)) &amp; "'!$A$2:$C$6"), 3, FALSE), "Not found")</f>
        <v>100</v>
      </c>
    </row>
    <row r="12" spans="1:3" x14ac:dyDescent="0.3">
      <c r="A12">
        <v>111</v>
      </c>
      <c r="B12" s="3" t="str">
        <f t="array" aca="1" ref="B12" ca="1">_xlfn.IFNA(VLOOKUP($A12, INDIRECT("'"&amp;INDEX(Lookup_sheets, MATCH(1, --(COUNTIF(INDIRECT("'" &amp; Lookup_sheets &amp; "'!$A$2:$A$6"), $A12)&gt;0), 0)) &amp; "'!$A$2:$C$6"), 2, FALSE), "Not found")</f>
        <v>Oranges</v>
      </c>
      <c r="C12" s="4">
        <f t="array" aca="1" ref="C12" ca="1">_xlfn.IFNA(VLOOKUP($A12, INDIRECT("'"&amp;INDEX(Lookup_sheets, MATCH(1, --(COUNTIF(INDIRECT("'" &amp; Lookup_sheets &amp; "'!$A$2:$A$6"), $A12)&gt;0), 0)) &amp; "'!$A$2:$C$6"), 3, FALSE), "Not found")</f>
        <v>120</v>
      </c>
    </row>
    <row r="13" spans="1:3" x14ac:dyDescent="0.3">
      <c r="A13">
        <v>112</v>
      </c>
      <c r="B13" s="3" t="str">
        <f t="array" aca="1" ref="B13" ca="1">_xlfn.IFNA(VLOOKUP($A13, INDIRECT("'"&amp;INDEX(Lookup_sheets, MATCH(1, --(COUNTIF(INDIRECT("'" &amp; Lookup_sheets &amp; "'!$A$2:$A$6"), $A13)&gt;0), 0)) &amp; "'!$A$2:$C$6"), 2, FALSE), "Not found")</f>
        <v>Pears</v>
      </c>
      <c r="C13" s="4">
        <f t="array" aca="1" ref="C13" ca="1">_xlfn.IFNA(VLOOKUP($A13, INDIRECT("'"&amp;INDEX(Lookup_sheets, MATCH(1, --(COUNTIF(INDIRECT("'" &amp; Lookup_sheets &amp; "'!$A$2:$A$6"), $A13)&gt;0), 0)) &amp; "'!$A$2:$C$6"), 3, FALSE), "Not found")</f>
        <v>130</v>
      </c>
    </row>
    <row r="14" spans="1:3" x14ac:dyDescent="0.3">
      <c r="A14">
        <v>113</v>
      </c>
      <c r="B14" s="3" t="str">
        <f t="array" aca="1" ref="B14" ca="1">_xlfn.IFNA(VLOOKUP($A14, INDIRECT("'"&amp;INDEX(Lookup_sheets, MATCH(1, --(COUNTIF(INDIRECT("'" &amp; Lookup_sheets &amp; "'!$A$2:$A$6"), $A14)&gt;0), 0)) &amp; "'!$A$2:$C$6"), 2, FALSE), "Not found")</f>
        <v>Bananas</v>
      </c>
      <c r="C14" s="4">
        <f t="array" aca="1" ref="C14" ca="1">_xlfn.IFNA(VLOOKUP($A14, INDIRECT("'"&amp;INDEX(Lookup_sheets, MATCH(1, --(COUNTIF(INDIRECT("'" &amp; Lookup_sheets &amp; "'!$A$2:$A$6"), $A14)&gt;0), 0)) &amp; "'!$A$2:$C$6"), 3, FALSE), "Not found")</f>
        <v>120</v>
      </c>
    </row>
    <row r="15" spans="1:3" x14ac:dyDescent="0.3">
      <c r="A15">
        <v>114</v>
      </c>
      <c r="B15" s="3" t="str">
        <f t="array" aca="1" ref="B15" ca="1">_xlfn.IFNA(VLOOKUP($A15, INDIRECT("'"&amp;INDEX(Lookup_sheets, MATCH(1, --(COUNTIF(INDIRECT("'" &amp; Lookup_sheets &amp; "'!$A$2:$A$6"), $A15)&gt;0), 0)) &amp; "'!$A$2:$C$6"), 2, FALSE), "Not found")</f>
        <v>Oranges</v>
      </c>
      <c r="C15" s="4">
        <f t="array" aca="1" ref="C15" ca="1">_xlfn.IFNA(VLOOKUP($A15, INDIRECT("'"&amp;INDEX(Lookup_sheets, MATCH(1, --(COUNTIF(INDIRECT("'" &amp; Lookup_sheets &amp; "'!$A$2:$A$6"), $A15)&gt;0), 0)) &amp; "'!$A$2:$C$6"), 3, FALSE), "Not found")</f>
        <v>127</v>
      </c>
    </row>
    <row r="16" spans="1:3" x14ac:dyDescent="0.3">
      <c r="A16">
        <v>115</v>
      </c>
      <c r="B16" s="3" t="str">
        <f t="array" aca="1" ref="B16" ca="1">_xlfn.IFNA(VLOOKUP($A16, INDIRECT("'"&amp;INDEX(Lookup_sheets, MATCH(1, --(COUNTIF(INDIRECT("'" &amp; Lookup_sheets &amp; "'!$A$2:$A$6"), $A16)&gt;0), 0)) &amp; "'!$A$2:$C$6"), 2, FALSE), "Not found")</f>
        <v>Apples</v>
      </c>
      <c r="C16" s="4">
        <f t="array" aca="1" ref="C16" ca="1">_xlfn.IFNA(VLOOKUP($A16, INDIRECT("'"&amp;INDEX(Lookup_sheets, MATCH(1, --(COUNTIF(INDIRECT("'" &amp; Lookup_sheets &amp; "'!$A$2:$A$6"), $A16)&gt;0), 0)) &amp; "'!$A$2:$C$6"), 3, FALSE), "Not found")</f>
        <v>120</v>
      </c>
    </row>
    <row r="17" spans="1:5" x14ac:dyDescent="0.3">
      <c r="A17">
        <v>116</v>
      </c>
      <c r="B17" s="3" t="str">
        <f t="array" aca="1" ref="B17" ca="1">_xlfn.IFNA(VLOOKUP($A17, INDIRECT("'"&amp;INDEX(Lookup_sheets, MATCH(1, --(COUNTIF(INDIRECT("'" &amp; Lookup_sheets &amp; "'!$A$2:$A$6"), $A17)&gt;0), 0)) &amp; "'!$A$2:$C$6"), 2, FALSE), "Not found")</f>
        <v>Oranges</v>
      </c>
      <c r="C17" s="4">
        <f t="array" aca="1" ref="C17" ca="1">_xlfn.IFNA(VLOOKUP($A17, INDIRECT("'"&amp;INDEX(Lookup_sheets, MATCH(1, --(COUNTIF(INDIRECT("'" &amp; Lookup_sheets &amp; "'!$A$2:$A$6"), $A17)&gt;0), 0)) &amp; "'!$A$2:$C$6"), 3, FALSE), "Not found")</f>
        <v>115</v>
      </c>
    </row>
    <row r="18" spans="1:5" x14ac:dyDescent="0.3">
      <c r="A18">
        <v>117</v>
      </c>
      <c r="B18" s="3" t="str">
        <f t="array" aca="1" ref="B18" ca="1">_xlfn.IFNA(VLOOKUP($A18, INDIRECT("'"&amp;INDEX(Lookup_sheets, MATCH(1, --(COUNTIF(INDIRECT("'" &amp; Lookup_sheets &amp; "'!$A$2:$A$6"), $A18)&gt;0), 0)) &amp; "'!$A$2:$C$6"), 2, FALSE), "Not found")</f>
        <v>Pears</v>
      </c>
      <c r="C18" s="4">
        <f t="array" aca="1" ref="C18" ca="1">_xlfn.IFNA(VLOOKUP($A18, INDIRECT("'"&amp;INDEX(Lookup_sheets, MATCH(1, --(COUNTIF(INDIRECT("'" &amp; Lookup_sheets &amp; "'!$A$2:$A$6"), $A18)&gt;0), 0)) &amp; "'!$A$2:$C$6"), 3, FALSE), "Not found")</f>
        <v>130</v>
      </c>
    </row>
    <row r="19" spans="1:5" x14ac:dyDescent="0.3">
      <c r="A19">
        <v>118</v>
      </c>
      <c r="B19" s="3" t="str">
        <f t="array" aca="1" ref="B19" ca="1">_xlfn.IFNA(VLOOKUP($A19, INDIRECT("'"&amp;INDEX(Lookup_sheets, MATCH(1, --(COUNTIF(INDIRECT("'" &amp; Lookup_sheets &amp; "'!$A$2:$A$6"), $A19)&gt;0), 0)) &amp; "'!$A$2:$C$6"), 2, FALSE), "Not found")</f>
        <v>Bananas</v>
      </c>
      <c r="C19" s="4">
        <f t="array" aca="1" ref="C19" ca="1">_xlfn.IFNA(VLOOKUP($A19, INDIRECT("'"&amp;INDEX(Lookup_sheets, MATCH(1, --(COUNTIF(INDIRECT("'" &amp; Lookup_sheets &amp; "'!$A$2:$A$6"), $A19)&gt;0), 0)) &amp; "'!$A$2:$C$6"), 3, FALSE), "Not found")</f>
        <v>118</v>
      </c>
    </row>
    <row r="20" spans="1:5" x14ac:dyDescent="0.3">
      <c r="A20">
        <v>119</v>
      </c>
      <c r="B20" s="3" t="str">
        <f t="array" aca="1" ref="B20" ca="1">_xlfn.IFNA(VLOOKUP($A20, INDIRECT("'"&amp;INDEX(Lookup_sheets, MATCH(1, --(COUNTIF(INDIRECT("'" &amp; Lookup_sheets &amp; "'!$A$2:$A$6"), $A20)&gt;0), 0)) &amp; "'!$A$2:$C$6"), 2, FALSE), "Not found")</f>
        <v>Lemons</v>
      </c>
      <c r="C20" s="4">
        <f t="array" aca="1" ref="C20" ca="1">_xlfn.IFNA(VLOOKUP($A20, INDIRECT("'"&amp;INDEX(Lookup_sheets, MATCH(1, --(COUNTIF(INDIRECT("'" &amp; Lookup_sheets &amp; "'!$A$2:$A$6"), $A20)&gt;0), 0)) &amp; "'!$A$2:$C$6"), 3, FALSE), "Not found")</f>
        <v>125</v>
      </c>
    </row>
    <row r="21" spans="1:5" x14ac:dyDescent="0.3">
      <c r="A21">
        <v>120</v>
      </c>
      <c r="B21" s="3" t="str">
        <f t="array" aca="1" ref="B21" ca="1">_xlfn.IFNA(VLOOKUP($A21, INDIRECT("'"&amp;INDEX(Lookup_sheets, MATCH(1, --(COUNTIF(INDIRECT("'" &amp; Lookup_sheets &amp; "'!$A$2:$A$6"), $A21)&gt;0), 0)) &amp; "'!$A$2:$C$6"), 2, FALSE), "Not found")</f>
        <v>Lemons</v>
      </c>
      <c r="C21" s="4">
        <f t="array" aca="1" ref="C21" ca="1">_xlfn.IFNA(VLOOKUP($A21, INDIRECT("'"&amp;INDEX(Lookup_sheets, MATCH(1, --(COUNTIF(INDIRECT("'" &amp; Lookup_sheets &amp; "'!$A$2:$A$6"), $A21)&gt;0), 0)) &amp; "'!$A$2:$C$6"), 3, FALSE), "Not found")</f>
        <v>118</v>
      </c>
    </row>
    <row r="24" spans="1:5" x14ac:dyDescent="0.3">
      <c r="E24" t="s">
        <v>10</v>
      </c>
    </row>
    <row r="33" spans="8:8" x14ac:dyDescent="0.3">
      <c r="H33" t="s">
        <v>10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6"/>
  <sheetViews>
    <sheetView workbookViewId="0">
      <selection activeCell="I18" sqref="I18"/>
    </sheetView>
  </sheetViews>
  <sheetFormatPr defaultRowHeight="15.05" x14ac:dyDescent="0.3"/>
  <sheetData>
    <row r="1" spans="1:11" x14ac:dyDescent="0.3">
      <c r="A1" s="21" t="s">
        <v>25</v>
      </c>
      <c r="B1" s="21"/>
      <c r="C1" s="21"/>
      <c r="D1" s="21"/>
      <c r="E1" s="21"/>
    </row>
    <row r="2" spans="1:11" x14ac:dyDescent="0.3">
      <c r="A2" s="1" t="s">
        <v>0</v>
      </c>
      <c r="B2" s="1" t="s">
        <v>13</v>
      </c>
      <c r="C2" s="1" t="s">
        <v>15</v>
      </c>
      <c r="D2" s="1" t="s">
        <v>14</v>
      </c>
      <c r="E2" s="1" t="s">
        <v>12</v>
      </c>
      <c r="G2" s="1" t="s">
        <v>0</v>
      </c>
      <c r="H2" s="1" t="s">
        <v>13</v>
      </c>
      <c r="I2" s="1" t="s">
        <v>15</v>
      </c>
      <c r="J2" s="1" t="s">
        <v>14</v>
      </c>
      <c r="K2" s="1" t="s">
        <v>12</v>
      </c>
    </row>
    <row r="3" spans="1:11" x14ac:dyDescent="0.3">
      <c r="A3" t="s">
        <v>4</v>
      </c>
      <c r="B3" s="2">
        <f t="shared" ref="B3:E7" si="0">VLOOKUP($A3, IF(B$2="east", East_sales, IF(B$2="north", North_sales, IF(B$2="south", South_sales, IF(B$2="west", West_sales)))), 2, FALSE)</f>
        <v>100</v>
      </c>
      <c r="C3" s="2">
        <f t="shared" si="0"/>
        <v>140</v>
      </c>
      <c r="D3" s="2">
        <f t="shared" si="0"/>
        <v>120</v>
      </c>
      <c r="E3" s="2">
        <f t="shared" si="0"/>
        <v>118</v>
      </c>
      <c r="G3" t="s">
        <v>4</v>
      </c>
      <c r="H3" s="2">
        <f>VLOOKUP($G3, IF(H$2="east", East_sales, IF(H$2="north", North_sales, IF(H$2="south", South_sales, IF(H$2="west", West_sales)))), 2, FALSE)</f>
        <v>100</v>
      </c>
      <c r="I3" s="2">
        <f>VLOOKUP($G3, IF(I$2="east", East_sales, IF(I$2="north", North_sales, IF(I$2="south", South_sales, IF(I$2="west", West_sales)))), 2, FALSE)</f>
        <v>140</v>
      </c>
      <c r="J3" s="2">
        <f>VLOOKUP($G3, IF(J$2="east", East_sales, IF(J$2="north", North_sales, IF(J$2="south", South_sales, IF(J$2="west", West_sales)))), 2, FALSE)</f>
        <v>120</v>
      </c>
      <c r="K3" s="2">
        <f>VLOOKUP($G3, IF(K$2="east", East_sales, IF(K$2="north", North_sales, IF(K$2="south", South_sales, IF(K$2="west", West_sales)))), 2, FALSE)</f>
        <v>118</v>
      </c>
    </row>
    <row r="4" spans="1:11" x14ac:dyDescent="0.3">
      <c r="A4" t="s">
        <v>7</v>
      </c>
      <c r="B4" s="2">
        <f t="shared" si="0"/>
        <v>100</v>
      </c>
      <c r="C4" s="2">
        <f t="shared" si="0"/>
        <v>120</v>
      </c>
      <c r="D4" s="2">
        <f t="shared" si="0"/>
        <v>118</v>
      </c>
      <c r="E4" s="2">
        <f t="shared" si="0"/>
        <v>120</v>
      </c>
      <c r="G4" t="s">
        <v>7</v>
      </c>
      <c r="H4" s="2">
        <f>VLOOKUP($G4, IF(H$2="east", East_sales, IF(H$2="north", North_sales, IF(H$2="south", South_sales, IF(H$2="west", West_sales)))), 2, FALSE)</f>
        <v>100</v>
      </c>
      <c r="I4" s="2">
        <f>VLOOKUP($G4, IF(I$2="east", East_sales, IF(I$2="north", North_sales, IF(I$2="south", South_sales, IF(I$2="west", West_sales)))), 2, FALSE)</f>
        <v>120</v>
      </c>
      <c r="J4" s="2">
        <f>VLOOKUP($G4, IF(J$2="east", East_sales, IF(J$2="north", North_sales, IF(J$2="south", South_sales, IF(J$2="west", West_sales)))), 2, FALSE)</f>
        <v>118</v>
      </c>
      <c r="K4" s="2">
        <f>VLOOKUP($G4, IF(K$2="east", East_sales, IF(K$2="north", North_sales, IF(K$2="south", South_sales, IF(K$2="west", West_sales)))), 2, FALSE)</f>
        <v>120</v>
      </c>
    </row>
    <row r="5" spans="1:11" x14ac:dyDescent="0.3">
      <c r="A5" t="s">
        <v>6</v>
      </c>
      <c r="B5" s="2">
        <f t="shared" si="0"/>
        <v>145</v>
      </c>
      <c r="C5" s="2">
        <f t="shared" si="0"/>
        <v>125</v>
      </c>
      <c r="D5" s="2">
        <f t="shared" si="0"/>
        <v>118</v>
      </c>
      <c r="E5" s="2">
        <f t="shared" si="0"/>
        <v>132</v>
      </c>
      <c r="G5" t="s">
        <v>6</v>
      </c>
      <c r="H5" s="2">
        <f>VLOOKUP($G5, IF(H$2="east", East_sales, IF(H$2="north", North_sales, IF(H$2="south", South_sales, IF(H$2="west", West_sales)))), 2, FALSE)</f>
        <v>145</v>
      </c>
      <c r="I5" s="2">
        <f>VLOOKUP($G5, IF(I$2="east", East_sales, IF(I$2="north", North_sales, IF(I$2="south", South_sales, IF(I$2="west", West_sales)))), 2, FALSE)</f>
        <v>125</v>
      </c>
      <c r="J5" s="2">
        <f>VLOOKUP($G5, IF(J$2="east", East_sales, IF(J$2="north", North_sales, IF(J$2="south", South_sales, IF(J$2="west", West_sales)))), 2, FALSE)</f>
        <v>118</v>
      </c>
      <c r="K5" s="2">
        <f>VLOOKUP($G5, IF(K$2="east", East_sales, IF(K$2="north", North_sales, IF(K$2="south", South_sales, IF(K$2="west", West_sales)))), 2, FALSE)</f>
        <v>132</v>
      </c>
    </row>
    <row r="6" spans="1:11" x14ac:dyDescent="0.3">
      <c r="A6" t="s">
        <v>5</v>
      </c>
      <c r="B6" s="2">
        <f t="shared" si="0"/>
        <v>127</v>
      </c>
      <c r="C6" s="2">
        <f t="shared" si="0"/>
        <v>120</v>
      </c>
      <c r="D6" s="2">
        <f t="shared" si="0"/>
        <v>115</v>
      </c>
      <c r="E6" s="2">
        <f t="shared" si="0"/>
        <v>125</v>
      </c>
      <c r="G6" t="s">
        <v>5</v>
      </c>
      <c r="H6" s="2">
        <f>VLOOKUP($G6, IF(H$2="east", East_sales, IF(H$2="north", North_sales, IF(H$2="south", South_sales, IF(H$2="west", West_sales)))), 2, FALSE)</f>
        <v>127</v>
      </c>
      <c r="I6" s="2">
        <f>VLOOKUP($G6, IF(I$2="east", East_sales, IF(I$2="north", North_sales, IF(I$2="south", South_sales, IF(I$2="west", West_sales)))), 2, FALSE)</f>
        <v>120</v>
      </c>
      <c r="J6" s="2">
        <f>VLOOKUP($G6, IF(J$2="east", East_sales, IF(J$2="north", North_sales, IF(J$2="south", South_sales, IF(J$2="west", West_sales)))), 2, FALSE)</f>
        <v>115</v>
      </c>
      <c r="K6" s="2">
        <f>VLOOKUP($G6, IF(K$2="east", East_sales, IF(K$2="north", North_sales, IF(K$2="south", South_sales, IF(K$2="west", West_sales)))), 2, FALSE)</f>
        <v>125</v>
      </c>
    </row>
    <row r="7" spans="1:11" x14ac:dyDescent="0.3">
      <c r="A7" t="s">
        <v>8</v>
      </c>
      <c r="B7" s="2">
        <f t="shared" si="0"/>
        <v>110</v>
      </c>
      <c r="C7" s="2">
        <f t="shared" si="0"/>
        <v>130</v>
      </c>
      <c r="D7" s="2">
        <f t="shared" si="0"/>
        <v>130</v>
      </c>
      <c r="E7" s="2">
        <f t="shared" si="0"/>
        <v>115</v>
      </c>
      <c r="G7" t="s">
        <v>8</v>
      </c>
      <c r="H7" s="2">
        <f>VLOOKUP($G7, IF(H$2="east", East_sales, IF(H$2="north", North_sales, IF(H$2="south", South_sales, IF(H$2="west", West_sales)))), 2, FALSE)</f>
        <v>110</v>
      </c>
      <c r="I7" s="2">
        <f>VLOOKUP($G7, IF(I$2="east", East_sales, IF(I$2="north", North_sales, IF(I$2="south", South_sales, IF(I$2="west", West_sales)))), 2, FALSE)</f>
        <v>130</v>
      </c>
      <c r="J7" s="2">
        <f>VLOOKUP($G7, IF(J$2="east", East_sales, IF(J$2="north", North_sales, IF(J$2="south", South_sales, IF(J$2="west", West_sales)))), 2, FALSE)</f>
        <v>130</v>
      </c>
      <c r="K7" s="2">
        <f>VLOOKUP($G7, IF(K$2="east", East_sales, IF(K$2="north", North_sales, IF(K$2="south", South_sales, IF(K$2="west", West_sales)))), 2, FALSE)</f>
        <v>115</v>
      </c>
    </row>
    <row r="10" spans="1:11" x14ac:dyDescent="0.3">
      <c r="A10" s="21" t="s">
        <v>26</v>
      </c>
      <c r="B10" s="21"/>
      <c r="C10" s="21"/>
      <c r="D10" s="21"/>
      <c r="E10" s="21"/>
      <c r="G10" t="s">
        <v>10</v>
      </c>
    </row>
    <row r="11" spans="1:11" x14ac:dyDescent="0.3">
      <c r="A11" s="1" t="s">
        <v>0</v>
      </c>
      <c r="B11" s="1" t="s">
        <v>13</v>
      </c>
      <c r="C11" s="1" t="s">
        <v>15</v>
      </c>
      <c r="D11" s="1" t="s">
        <v>14</v>
      </c>
      <c r="E11" s="1" t="s">
        <v>12</v>
      </c>
      <c r="G11" s="1" t="s">
        <v>0</v>
      </c>
      <c r="H11" s="1" t="s">
        <v>13</v>
      </c>
      <c r="I11" s="1" t="s">
        <v>15</v>
      </c>
      <c r="J11" s="1" t="s">
        <v>14</v>
      </c>
      <c r="K11" s="1" t="s">
        <v>12</v>
      </c>
    </row>
    <row r="12" spans="1:11" x14ac:dyDescent="0.3">
      <c r="A12" t="s">
        <v>4</v>
      </c>
      <c r="B12" s="2">
        <f t="array" aca="1" ref="B12" ca="1">VLOOKUP($A12, INDIRECT(B$11&amp;"_sales"), 2, FALSE)</f>
        <v>100</v>
      </c>
      <c r="C12" s="2">
        <f t="array" aca="1" ref="C12" ca="1">VLOOKUP($A12, INDIRECT(C$11&amp;"_sales"), 2, FALSE)</f>
        <v>140</v>
      </c>
      <c r="D12" s="2">
        <f t="array" aca="1" ref="D12" ca="1">VLOOKUP($A12, INDIRECT(D$11&amp;"_sales"), 2, FALSE)</f>
        <v>120</v>
      </c>
      <c r="E12" s="2">
        <f t="array" aca="1" ref="E12" ca="1">VLOOKUP($A12, INDIRECT(E$11&amp;"_sales"), 2, FALSE)</f>
        <v>118</v>
      </c>
      <c r="G12" t="s">
        <v>4</v>
      </c>
      <c r="H12" s="2">
        <f ca="1">VLOOKUP($G12,INDIRECT(H$11&amp;"_sales"),2,FALSE)</f>
        <v>100</v>
      </c>
      <c r="I12" s="2">
        <f t="shared" ref="I12:K16" ca="1" si="1">VLOOKUP($G12,INDIRECT(I$11&amp;"_sales"),2,FALSE)</f>
        <v>140</v>
      </c>
      <c r="J12" s="2">
        <f t="shared" ca="1" si="1"/>
        <v>120</v>
      </c>
      <c r="K12" s="2">
        <f t="shared" ca="1" si="1"/>
        <v>118</v>
      </c>
    </row>
    <row r="13" spans="1:11" x14ac:dyDescent="0.3">
      <c r="A13" t="s">
        <v>7</v>
      </c>
      <c r="B13" s="2">
        <f t="array" aca="1" ref="B13" ca="1">VLOOKUP($A13, INDIRECT(B$11&amp;"_sales"), 2, FALSE)</f>
        <v>100</v>
      </c>
      <c r="C13" s="2">
        <f t="array" aca="1" ref="C13" ca="1">VLOOKUP($A13, INDIRECT(C$11&amp;"_sales"), 2, FALSE)</f>
        <v>120</v>
      </c>
      <c r="D13" s="2">
        <f t="array" aca="1" ref="D13" ca="1">VLOOKUP($A13, INDIRECT(D$11&amp;"_sales"), 2, FALSE)</f>
        <v>118</v>
      </c>
      <c r="E13" s="2">
        <f t="array" aca="1" ref="E13" ca="1">VLOOKUP($A13, INDIRECT(E$11&amp;"_sales"), 2, FALSE)</f>
        <v>120</v>
      </c>
      <c r="G13" t="s">
        <v>7</v>
      </c>
      <c r="H13" s="2">
        <f t="shared" ref="H13:H16" ca="1" si="2">VLOOKUP($G13,INDIRECT(H$11&amp;"_sales"),2,FALSE)</f>
        <v>100</v>
      </c>
      <c r="I13" s="2">
        <f t="shared" ca="1" si="1"/>
        <v>120</v>
      </c>
      <c r="J13" s="2">
        <f t="shared" ca="1" si="1"/>
        <v>118</v>
      </c>
      <c r="K13" s="2">
        <f t="shared" ca="1" si="1"/>
        <v>120</v>
      </c>
    </row>
    <row r="14" spans="1:11" x14ac:dyDescent="0.3">
      <c r="A14" t="s">
        <v>6</v>
      </c>
      <c r="B14" s="2">
        <f t="array" aca="1" ref="B14" ca="1">VLOOKUP($A14, INDIRECT(B$11&amp;"_sales"), 2, FALSE)</f>
        <v>145</v>
      </c>
      <c r="C14" s="2">
        <f t="array" aca="1" ref="C14" ca="1">VLOOKUP($A14, INDIRECT(C$11&amp;"_sales"), 2, FALSE)</f>
        <v>125</v>
      </c>
      <c r="D14" s="2">
        <f t="array" aca="1" ref="D14" ca="1">VLOOKUP($A14, INDIRECT(D$11&amp;"_sales"), 2, FALSE)</f>
        <v>118</v>
      </c>
      <c r="E14" s="2">
        <f t="array" aca="1" ref="E14" ca="1">VLOOKUP($A14, INDIRECT(E$11&amp;"_sales"), 2, FALSE)</f>
        <v>132</v>
      </c>
      <c r="G14" t="s">
        <v>6</v>
      </c>
      <c r="H14" s="2">
        <f t="shared" ca="1" si="2"/>
        <v>145</v>
      </c>
      <c r="I14" s="2">
        <f t="shared" ca="1" si="1"/>
        <v>125</v>
      </c>
      <c r="J14" s="2">
        <f t="shared" ca="1" si="1"/>
        <v>118</v>
      </c>
      <c r="K14" s="2">
        <f t="shared" ca="1" si="1"/>
        <v>132</v>
      </c>
    </row>
    <row r="15" spans="1:11" x14ac:dyDescent="0.3">
      <c r="A15" t="s">
        <v>5</v>
      </c>
      <c r="B15" s="2">
        <f t="array" aca="1" ref="B15" ca="1">VLOOKUP($A15, INDIRECT(B$11&amp;"_sales"), 2, FALSE)</f>
        <v>127</v>
      </c>
      <c r="C15" s="2">
        <f t="array" aca="1" ref="C15" ca="1">VLOOKUP($A15, INDIRECT(C$11&amp;"_sales"), 2, FALSE)</f>
        <v>120</v>
      </c>
      <c r="D15" s="2">
        <f t="array" aca="1" ref="D15" ca="1">VLOOKUP($A15, INDIRECT(D$11&amp;"_sales"), 2, FALSE)</f>
        <v>115</v>
      </c>
      <c r="E15" s="2">
        <f t="array" aca="1" ref="E15" ca="1">VLOOKUP($A15, INDIRECT(E$11&amp;"_sales"), 2, FALSE)</f>
        <v>125</v>
      </c>
      <c r="G15" t="s">
        <v>5</v>
      </c>
      <c r="H15" s="2">
        <f t="shared" ca="1" si="2"/>
        <v>127</v>
      </c>
      <c r="I15" s="2">
        <f t="shared" ca="1" si="1"/>
        <v>120</v>
      </c>
      <c r="J15" s="2">
        <f t="shared" ca="1" si="1"/>
        <v>115</v>
      </c>
      <c r="K15" s="2">
        <f t="shared" ca="1" si="1"/>
        <v>125</v>
      </c>
    </row>
    <row r="16" spans="1:11" x14ac:dyDescent="0.3">
      <c r="A16" t="s">
        <v>8</v>
      </c>
      <c r="B16" s="2">
        <f t="array" aca="1" ref="B16" ca="1">VLOOKUP($A16, INDIRECT(B$11&amp;"_sales"), 2, FALSE)</f>
        <v>110</v>
      </c>
      <c r="C16" s="2">
        <f t="array" aca="1" ref="C16" ca="1">VLOOKUP($A16, INDIRECT(C$11&amp;"_sales"), 2, FALSE)</f>
        <v>130</v>
      </c>
      <c r="D16" s="2">
        <f t="array" aca="1" ref="D16" ca="1">VLOOKUP($A16, INDIRECT(D$11&amp;"_sales"), 2, FALSE)</f>
        <v>130</v>
      </c>
      <c r="E16" s="2">
        <f t="array" aca="1" ref="E16" ca="1">VLOOKUP($A16, INDIRECT(E$11&amp;"_sales"), 2, FALSE)</f>
        <v>115</v>
      </c>
      <c r="G16" t="s">
        <v>8</v>
      </c>
      <c r="H16" s="2">
        <f t="shared" ca="1" si="2"/>
        <v>110</v>
      </c>
      <c r="I16" s="2">
        <f t="shared" ca="1" si="1"/>
        <v>130</v>
      </c>
      <c r="J16" s="2">
        <f t="shared" ca="1" si="1"/>
        <v>130</v>
      </c>
      <c r="K16" s="2">
        <f t="shared" ca="1" si="1"/>
        <v>115</v>
      </c>
    </row>
  </sheetData>
  <mergeCells count="2">
    <mergeCell ref="A1:E1"/>
    <mergeCell ref="A10:E10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2"/>
  <sheetViews>
    <sheetView workbookViewId="0">
      <selection activeCell="A2" sqref="A2:A5"/>
    </sheetView>
  </sheetViews>
  <sheetFormatPr defaultRowHeight="15.05" x14ac:dyDescent="0.3"/>
  <cols>
    <col min="1" max="2" width="15.109375" customWidth="1"/>
  </cols>
  <sheetData>
    <row r="1" spans="1:1" x14ac:dyDescent="0.3">
      <c r="A1" s="5" t="s">
        <v>16</v>
      </c>
    </row>
    <row r="2" spans="1:1" x14ac:dyDescent="0.3">
      <c r="A2" t="s">
        <v>13</v>
      </c>
    </row>
    <row r="3" spans="1:1" x14ac:dyDescent="0.3">
      <c r="A3" t="s">
        <v>14</v>
      </c>
    </row>
    <row r="4" spans="1:1" x14ac:dyDescent="0.3">
      <c r="A4" t="s">
        <v>15</v>
      </c>
    </row>
    <row r="5" spans="1:1" x14ac:dyDescent="0.3">
      <c r="A5" t="s">
        <v>12</v>
      </c>
    </row>
    <row r="22" spans="10:10" x14ac:dyDescent="0.3">
      <c r="J22" t="s">
        <v>10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6"/>
  <sheetViews>
    <sheetView workbookViewId="0"/>
  </sheetViews>
  <sheetFormatPr defaultRowHeight="15.05" x14ac:dyDescent="0.3"/>
  <sheetData>
    <row r="1" spans="1:2" x14ac:dyDescent="0.3">
      <c r="A1" s="1" t="s">
        <v>0</v>
      </c>
      <c r="B1" s="1" t="s">
        <v>1</v>
      </c>
    </row>
    <row r="2" spans="1:2" x14ac:dyDescent="0.3">
      <c r="A2" t="s">
        <v>4</v>
      </c>
      <c r="B2" s="2">
        <v>100</v>
      </c>
    </row>
    <row r="3" spans="1:2" x14ac:dyDescent="0.3">
      <c r="A3" t="s">
        <v>5</v>
      </c>
      <c r="B3" s="2">
        <v>115</v>
      </c>
    </row>
    <row r="4" spans="1:2" x14ac:dyDescent="0.3">
      <c r="A4" t="s">
        <v>6</v>
      </c>
      <c r="B4" s="2">
        <v>118</v>
      </c>
    </row>
    <row r="5" spans="1:2" x14ac:dyDescent="0.3">
      <c r="A5" t="s">
        <v>7</v>
      </c>
      <c r="B5" s="2">
        <v>120</v>
      </c>
    </row>
    <row r="6" spans="1:2" x14ac:dyDescent="0.3">
      <c r="A6" t="s">
        <v>8</v>
      </c>
      <c r="B6" s="2">
        <v>125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6"/>
  <sheetViews>
    <sheetView workbookViewId="0"/>
  </sheetViews>
  <sheetFormatPr defaultRowHeight="15.05" x14ac:dyDescent="0.3"/>
  <sheetData>
    <row r="1" spans="1:2" x14ac:dyDescent="0.3">
      <c r="A1" s="1" t="s">
        <v>0</v>
      </c>
      <c r="B1" s="1" t="s">
        <v>2</v>
      </c>
    </row>
    <row r="2" spans="1:2" x14ac:dyDescent="0.3">
      <c r="A2" t="s">
        <v>4</v>
      </c>
      <c r="B2" s="2">
        <v>130</v>
      </c>
    </row>
    <row r="3" spans="1:2" x14ac:dyDescent="0.3">
      <c r="A3" t="s">
        <v>5</v>
      </c>
      <c r="B3" s="2">
        <v>125</v>
      </c>
    </row>
    <row r="4" spans="1:2" x14ac:dyDescent="0.3">
      <c r="A4" t="s">
        <v>6</v>
      </c>
      <c r="B4" s="2">
        <v>110</v>
      </c>
    </row>
    <row r="5" spans="1:2" x14ac:dyDescent="0.3">
      <c r="A5" t="s">
        <v>7</v>
      </c>
      <c r="B5" s="2">
        <v>112</v>
      </c>
    </row>
    <row r="6" spans="1:2" x14ac:dyDescent="0.3">
      <c r="A6" t="s">
        <v>8</v>
      </c>
      <c r="B6" s="2">
        <v>126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6"/>
  <sheetViews>
    <sheetView workbookViewId="0"/>
  </sheetViews>
  <sheetFormatPr defaultRowHeight="15.05" x14ac:dyDescent="0.3"/>
  <sheetData>
    <row r="1" spans="1:2" x14ac:dyDescent="0.3">
      <c r="A1" s="1" t="s">
        <v>0</v>
      </c>
      <c r="B1" s="1" t="s">
        <v>3</v>
      </c>
    </row>
    <row r="2" spans="1:2" x14ac:dyDescent="0.3">
      <c r="A2" t="s">
        <v>5</v>
      </c>
      <c r="B2" s="2">
        <v>120</v>
      </c>
    </row>
    <row r="3" spans="1:2" x14ac:dyDescent="0.3">
      <c r="A3" t="s">
        <v>7</v>
      </c>
      <c r="B3" s="2">
        <v>127</v>
      </c>
    </row>
    <row r="4" spans="1:2" x14ac:dyDescent="0.3">
      <c r="A4" t="s">
        <v>4</v>
      </c>
      <c r="B4" s="2">
        <v>128</v>
      </c>
    </row>
    <row r="5" spans="1:2" x14ac:dyDescent="0.3">
      <c r="A5" t="s">
        <v>8</v>
      </c>
      <c r="B5" s="2">
        <v>130</v>
      </c>
    </row>
    <row r="6" spans="1:2" x14ac:dyDescent="0.3">
      <c r="A6" t="s">
        <v>6</v>
      </c>
      <c r="B6" s="2">
        <v>132</v>
      </c>
    </row>
  </sheetData>
  <sortState ref="A2:B6">
    <sortCondition ref="B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7"/>
  <sheetViews>
    <sheetView zoomScaleNormal="100" workbookViewId="0">
      <selection activeCell="C2" sqref="C2"/>
    </sheetView>
  </sheetViews>
  <sheetFormatPr defaultRowHeight="15.05" x14ac:dyDescent="0.3"/>
  <sheetData>
    <row r="1" spans="1:3" x14ac:dyDescent="0.3">
      <c r="A1" s="1" t="s">
        <v>9</v>
      </c>
      <c r="B1" s="1" t="s">
        <v>0</v>
      </c>
      <c r="C1" s="1" t="s">
        <v>11</v>
      </c>
    </row>
    <row r="2" spans="1:3" x14ac:dyDescent="0.3">
      <c r="A2">
        <v>114</v>
      </c>
      <c r="B2" t="s">
        <v>5</v>
      </c>
      <c r="C2" s="2">
        <v>127</v>
      </c>
    </row>
    <row r="3" spans="1:3" x14ac:dyDescent="0.3">
      <c r="A3">
        <v>105</v>
      </c>
      <c r="B3" t="s">
        <v>7</v>
      </c>
      <c r="C3" s="2">
        <v>100</v>
      </c>
    </row>
    <row r="4" spans="1:3" x14ac:dyDescent="0.3">
      <c r="A4">
        <v>106</v>
      </c>
      <c r="B4" t="s">
        <v>8</v>
      </c>
      <c r="C4" s="2">
        <v>110</v>
      </c>
    </row>
    <row r="5" spans="1:3" x14ac:dyDescent="0.3">
      <c r="A5">
        <v>107</v>
      </c>
      <c r="B5" t="s">
        <v>6</v>
      </c>
      <c r="C5" s="2">
        <v>145</v>
      </c>
    </row>
    <row r="6" spans="1:3" x14ac:dyDescent="0.3">
      <c r="A6">
        <v>110</v>
      </c>
      <c r="B6" t="s">
        <v>4</v>
      </c>
      <c r="C6" s="2">
        <v>100</v>
      </c>
    </row>
    <row r="7" spans="1:3" x14ac:dyDescent="0.3">
      <c r="B7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6"/>
  <sheetViews>
    <sheetView topLeftCell="A17" workbookViewId="0">
      <selection activeCell="D19" sqref="D19:D36"/>
    </sheetView>
  </sheetViews>
  <sheetFormatPr defaultRowHeight="15.05" x14ac:dyDescent="0.3"/>
  <sheetData>
    <row r="1" spans="1:3" x14ac:dyDescent="0.3">
      <c r="A1" s="1" t="s">
        <v>9</v>
      </c>
      <c r="B1" s="1" t="s">
        <v>0</v>
      </c>
      <c r="C1" s="1" t="s">
        <v>11</v>
      </c>
    </row>
    <row r="2" spans="1:3" x14ac:dyDescent="0.3">
      <c r="A2">
        <v>111</v>
      </c>
      <c r="B2" t="s">
        <v>5</v>
      </c>
      <c r="C2" s="2">
        <v>120</v>
      </c>
    </row>
    <row r="3" spans="1:3" x14ac:dyDescent="0.3">
      <c r="A3">
        <v>113</v>
      </c>
      <c r="B3" t="s">
        <v>7</v>
      </c>
      <c r="C3" s="2">
        <v>120</v>
      </c>
    </row>
    <row r="4" spans="1:3" x14ac:dyDescent="0.3">
      <c r="A4">
        <v>117</v>
      </c>
      <c r="B4" t="s">
        <v>8</v>
      </c>
      <c r="C4" s="2">
        <v>130</v>
      </c>
    </row>
    <row r="5" spans="1:3" x14ac:dyDescent="0.3">
      <c r="A5">
        <v>119</v>
      </c>
      <c r="B5" t="s">
        <v>6</v>
      </c>
      <c r="C5" s="2">
        <v>125</v>
      </c>
    </row>
    <row r="6" spans="1:3" x14ac:dyDescent="0.3">
      <c r="A6">
        <v>121</v>
      </c>
      <c r="B6" t="s">
        <v>4</v>
      </c>
      <c r="C6" s="2">
        <v>140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6"/>
  <sheetViews>
    <sheetView workbookViewId="0"/>
  </sheetViews>
  <sheetFormatPr defaultRowHeight="15.05" x14ac:dyDescent="0.3"/>
  <sheetData>
    <row r="1" spans="1:3" x14ac:dyDescent="0.3">
      <c r="A1" s="1" t="s">
        <v>9</v>
      </c>
      <c r="B1" s="1" t="s">
        <v>0</v>
      </c>
      <c r="C1" s="1" t="s">
        <v>11</v>
      </c>
    </row>
    <row r="2" spans="1:3" x14ac:dyDescent="0.3">
      <c r="A2">
        <v>116</v>
      </c>
      <c r="B2" t="s">
        <v>5</v>
      </c>
      <c r="C2" s="2">
        <v>115</v>
      </c>
    </row>
    <row r="3" spans="1:3" x14ac:dyDescent="0.3">
      <c r="A3">
        <v>118</v>
      </c>
      <c r="B3" t="s">
        <v>7</v>
      </c>
      <c r="C3" s="2">
        <v>118</v>
      </c>
    </row>
    <row r="4" spans="1:3" x14ac:dyDescent="0.3">
      <c r="A4">
        <v>115</v>
      </c>
      <c r="B4" t="s">
        <v>4</v>
      </c>
      <c r="C4" s="2">
        <v>120</v>
      </c>
    </row>
    <row r="5" spans="1:3" x14ac:dyDescent="0.3">
      <c r="A5">
        <v>120</v>
      </c>
      <c r="B5" t="s">
        <v>6</v>
      </c>
      <c r="C5" s="2">
        <v>118</v>
      </c>
    </row>
    <row r="6" spans="1:3" x14ac:dyDescent="0.3">
      <c r="A6">
        <v>112</v>
      </c>
      <c r="B6" t="s">
        <v>8</v>
      </c>
      <c r="C6" s="2">
        <v>130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6"/>
  <sheetViews>
    <sheetView workbookViewId="0"/>
  </sheetViews>
  <sheetFormatPr defaultRowHeight="15.05" x14ac:dyDescent="0.3"/>
  <sheetData>
    <row r="1" spans="1:3" x14ac:dyDescent="0.3">
      <c r="A1" s="1" t="s">
        <v>9</v>
      </c>
      <c r="B1" s="1" t="s">
        <v>0</v>
      </c>
      <c r="C1" s="1" t="s">
        <v>11</v>
      </c>
    </row>
    <row r="2" spans="1:3" x14ac:dyDescent="0.3">
      <c r="A2">
        <v>101</v>
      </c>
      <c r="B2" t="s">
        <v>5</v>
      </c>
      <c r="C2" s="2">
        <v>125</v>
      </c>
    </row>
    <row r="3" spans="1:3" x14ac:dyDescent="0.3">
      <c r="A3">
        <v>102</v>
      </c>
      <c r="B3" t="s">
        <v>7</v>
      </c>
      <c r="C3" s="2">
        <v>120</v>
      </c>
    </row>
    <row r="4" spans="1:3" x14ac:dyDescent="0.3">
      <c r="A4">
        <v>104</v>
      </c>
      <c r="B4" t="s">
        <v>6</v>
      </c>
      <c r="C4" s="2">
        <v>132</v>
      </c>
    </row>
    <row r="5" spans="1:3" x14ac:dyDescent="0.3">
      <c r="A5">
        <v>108</v>
      </c>
      <c r="B5" t="s">
        <v>4</v>
      </c>
      <c r="C5" s="2">
        <v>118</v>
      </c>
    </row>
    <row r="6" spans="1:3" x14ac:dyDescent="0.3">
      <c r="A6">
        <v>109</v>
      </c>
      <c r="B6" t="s">
        <v>8</v>
      </c>
      <c r="C6" s="2">
        <v>115</v>
      </c>
    </row>
  </sheetData>
  <sortState ref="A2:C6">
    <sortCondition ref="A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VLOOKUP across sheets</vt:lpstr>
      <vt:lpstr>Vlookup another sheet</vt:lpstr>
      <vt:lpstr>VLOOKUP IFERROR</vt:lpstr>
      <vt:lpstr>VLOOKUP INDIRECT</vt:lpstr>
      <vt:lpstr>Dynamic VLOOKUP</vt:lpstr>
      <vt:lpstr>Lookup_sheets range</vt:lpstr>
      <vt:lpstr>Jan</vt:lpstr>
      <vt:lpstr>Feb</vt:lpstr>
      <vt:lpstr>Mar</vt:lpstr>
      <vt:lpstr>East</vt:lpstr>
      <vt:lpstr>North</vt:lpstr>
      <vt:lpstr>South</vt:lpstr>
      <vt:lpstr>West</vt:lpstr>
      <vt:lpstr>East_sales</vt:lpstr>
      <vt:lpstr>Lookup_sheets</vt:lpstr>
      <vt:lpstr>North_sales</vt:lpstr>
      <vt:lpstr>South_sales</vt:lpstr>
      <vt:lpstr>West_sales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Sveta Cheusheva</dc:creator>
  <cp:lastModifiedBy>admin</cp:lastModifiedBy>
  <dcterms:created xsi:type="dcterms:W3CDTF">2019-12-17T09:50:48Z</dcterms:created>
  <dcterms:modified xsi:type="dcterms:W3CDTF">2020-11-21T07:16:14Z</dcterms:modified>
</cp:coreProperties>
</file>